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TEAM" sheetId="1" state="visible" r:id="rId3"/>
    <sheet name="WBS" sheetId="2" state="visible" r:id="rId4"/>
    <sheet name="TRACKING" sheetId="3" state="visible" r:id="rId5"/>
    <sheet name="HOURS_TASK_SUBTASK" sheetId="4" state="visible" r:id="rId6"/>
    <sheet name="HOURS_PERSON_TASK" sheetId="5" state="visible" r:id="rId7"/>
    <sheet name="HOURS_PERSON_DAY" sheetId="6" state="visible" r:id="rId8"/>
    <sheet name="GRAPHS" sheetId="7" state="visible" r:id="rId9"/>
  </sheet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<sst xmlns="http://schemas.openxmlformats.org/spreadsheetml/2006/main" count="247" uniqueCount="69">
  <si>
    <t xml:space="preserve">USER</t>
  </si>
  <si>
    <t xml:space="preserve">LAST NAME</t>
  </si>
  <si>
    <t xml:space="preserve">FIRST NAME</t>
  </si>
  <si>
    <t xml:space="preserve">Dani</t>
  </si>
  <si>
    <t xml:space="preserve">Morales Sosa</t>
  </si>
  <si>
    <t xml:space="preserve">Daniel Jesús</t>
  </si>
  <si>
    <t xml:space="preserve">Luis</t>
  </si>
  <si>
    <t xml:space="preserve">Martín Pérez</t>
  </si>
  <si>
    <t xml:space="preserve">Natasa</t>
  </si>
  <si>
    <t xml:space="preserve">Đurić</t>
  </si>
  <si>
    <t xml:space="preserve">Nataša</t>
  </si>
  <si>
    <t xml:space="preserve">Gokan</t>
  </si>
  <si>
    <t xml:space="preserve">Gligorov</t>
  </si>
  <si>
    <t xml:space="preserve">Gligor</t>
  </si>
  <si>
    <t xml:space="preserve">TASK</t>
  </si>
  <si>
    <t xml:space="preserve">SUBTASK</t>
  </si>
  <si>
    <t xml:space="preserve">SUBTASK ESTIMATE</t>
  </si>
  <si>
    <t xml:space="preserve">SUBTASK DURATION</t>
  </si>
  <si>
    <t xml:space="preserve">STAGE</t>
  </si>
  <si>
    <t xml:space="preserve">TASK ESTIMATE</t>
  </si>
  <si>
    <t xml:space="preserve">TASK DURATION</t>
  </si>
  <si>
    <t xml:space="preserve">DEVIATION</t>
  </si>
  <si>
    <t xml:space="preserve">R0</t>
  </si>
  <si>
    <t xml:space="preserve">Idea</t>
  </si>
  <si>
    <t xml:space="preserve">Description</t>
  </si>
  <si>
    <t xml:space="preserve">R1</t>
  </si>
  <si>
    <t xml:space="preserve">Market survey</t>
  </si>
  <si>
    <t xml:space="preserve">SWOT analysis</t>
  </si>
  <si>
    <t xml:space="preserve">R2</t>
  </si>
  <si>
    <t xml:space="preserve">Use cases</t>
  </si>
  <si>
    <t xml:space="preserve">User stories</t>
  </si>
  <si>
    <t xml:space="preserve">Technical user stories</t>
  </si>
  <si>
    <t xml:space="preserve">Jira</t>
  </si>
  <si>
    <t xml:space="preserve">R3</t>
  </si>
  <si>
    <t xml:space="preserve">Planning poker</t>
  </si>
  <si>
    <t xml:space="preserve">Planning with ProjectLibre</t>
  </si>
  <si>
    <t xml:space="preserve">R4</t>
  </si>
  <si>
    <t xml:space="preserve">Cost estimation</t>
  </si>
  <si>
    <t xml:space="preserve">Ressource allocation</t>
  </si>
  <si>
    <t xml:space="preserve">R5</t>
  </si>
  <si>
    <t xml:space="preserve">Brainwriting for risk identification</t>
  </si>
  <si>
    <t xml:space="preserve">Risk exposure</t>
  </si>
  <si>
    <t xml:space="preserve">R6</t>
  </si>
  <si>
    <t xml:space="preserve">Contingency plan</t>
  </si>
  <si>
    <t xml:space="preserve">R7</t>
  </si>
  <si>
    <t xml:space="preserve">Golden rules</t>
  </si>
  <si>
    <t xml:space="preserve">SUS</t>
  </si>
  <si>
    <t xml:space="preserve">R8</t>
  </si>
  <si>
    <t xml:space="preserve">Accessibility tests</t>
  </si>
  <si>
    <t xml:space="preserve">Static code analysis</t>
  </si>
  <si>
    <t xml:space="preserve">Acceptance tests</t>
  </si>
  <si>
    <t xml:space="preserve">R9</t>
  </si>
  <si>
    <t xml:space="preserve">Model</t>
  </si>
  <si>
    <t xml:space="preserve">R10</t>
  </si>
  <si>
    <t xml:space="preserve">Speech preparation</t>
  </si>
  <si>
    <t xml:space="preserve">Video recording</t>
  </si>
  <si>
    <t xml:space="preserve">PROTOTYPE</t>
  </si>
  <si>
    <t xml:space="preserve">DATE</t>
  </si>
  <si>
    <t xml:space="preserve">STARTING TIME</t>
  </si>
  <si>
    <t xml:space="preserve">FINAL TIME</t>
  </si>
  <si>
    <t xml:space="preserve">AUTHOR</t>
  </si>
  <si>
    <t xml:space="preserve">DURATION</t>
  </si>
  <si>
    <t xml:space="preserve">NOTES</t>
  </si>
  <si>
    <t xml:space="preserve">19/2/2026</t>
  </si>
  <si>
    <t xml:space="preserve">26/2/2026</t>
  </si>
  <si>
    <t xml:space="preserve">Row Labels</t>
  </si>
  <si>
    <t xml:space="preserve">Suma de DURATION</t>
  </si>
  <si>
    <t xml:space="preserve">(empty)</t>
  </si>
  <si>
    <t xml:space="preserve">Total Result</t>
  </si>
</sst>
</file>

<file path=xl/styles.xml><?xml version="1.0" encoding="utf-8"?>
<styleSheet xmlns="http://schemas.openxmlformats.org/spreadsheetml/2006/main">
  <numFmts count="6">
    <numFmt numFmtId="164" formatCode="[h]:mm:ss;@"/>
    <numFmt numFmtId="165" formatCode="h:mm;@"/>
    <numFmt numFmtId="166" formatCode="General"/>
    <numFmt numFmtId="167" formatCode="[h]:mm;@"/>
    <numFmt numFmtId="168" formatCode="0.00"/>
    <numFmt numFmtId="169" formatCode="m/d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rgb="FF003366"/>
      </patternFill>
    </fill>
    <fill>
      <patternFill patternType="solid">
        <fgColor theme="4" tint="0.7999"/>
        <bgColor rgb="FFD9D9D9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6"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left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left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2"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6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0" fillId="0" borderId="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tru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4" xfId="2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2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2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8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4" fillId="0" borderId="1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1">
    <dxf>
      <fill>
        <patternFill>
          <bgColor theme="0"/>
        </patternFill>
      </fill>
    </dxf>
    <dxf>
      <fill>
        <patternFill>
          <bgColor theme="5" tint="0.5999"/>
        </patternFill>
      </fill>
    </dxf>
    <dxf>
      <fill>
        <patternFill>
          <bgColor theme="6" tint="0.3999"/>
        </patternFill>
      </fill>
    </dxf>
    <dxf>
      <numFmt numFmtId="164" formatCode="[h]:mm:ss;@"/>
    </dxf>
    <dxf>
      <numFmt numFmtId="164" formatCode="[h]:mm:ss;@"/>
    </dxf>
    <dxf>
      <numFmt numFmtId="165" formatCode="h:mm;@"/>
    </dxf>
    <dxf>
      <numFmt numFmtId="164" formatCode="[h]:mm:ss;@"/>
    </dxf>
    <dxf>
      <numFmt numFmtId="164" formatCode="[h]:mm:ss;@"/>
    </dxf>
    <dxf>
      <numFmt numFmtId="165" formatCode="h:mm;@"/>
    </dxf>
    <dxf>
      <numFmt numFmtId="164" formatCode="[h]:mm:ss;@"/>
    </dxf>
    <dxf>
      <numFmt numFmtId="164" formatCode="[h]:mm:ss;@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78787"/>
      <rgbColor rgb="FF9999FF"/>
      <rgbColor rgb="FFC0504D"/>
      <rgbColor rgb="FFFFFFCC"/>
      <rgbColor rgb="FFDCE6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6B9B8"/>
      <rgbColor rgb="FF4F81BD"/>
      <rgbColor rgb="FF4BACC6"/>
      <rgbColor rgb="FF9BBB59"/>
      <rgbColor rgb="FFFFCC00"/>
      <rgbColor rgb="FFFF9900"/>
      <rgbColor rgb="FFFF6600"/>
      <rgbColor rgb="FF8064A2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hours person</a:t>
            </a: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task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HOURS_PERSON_TASK!$B$1:$B$2</c:f>
              <c:strCache>
                <c:ptCount val="1"/>
                <c:pt idx="0">
                  <c:v>TASK (empty)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HOURS_PERSON_TASK!$A$3:$A$8</c:f>
              <c:strCache>
                <c:ptCount val="6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(empty)</c:v>
                </c:pt>
                <c:pt idx="5">
                  <c:v>Total Result</c:v>
                </c:pt>
              </c:strCache>
            </c:strRef>
          </c:cat>
          <c:val>
            <c:numRef>
              <c:f>HOURS_PERSON_TASK!$B$3:$B$8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strRef>
              <c:f>HOURS_PERSON_TASK!$C$1:$C$2</c:f>
              <c:strCache>
                <c:ptCount val="1"/>
                <c:pt idx="0">
                  <c:v>R0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HOURS_PERSON_TASK!$A$3:$A$8</c:f>
              <c:strCache>
                <c:ptCount val="6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(empty)</c:v>
                </c:pt>
                <c:pt idx="5">
                  <c:v>Total Result</c:v>
                </c:pt>
              </c:strCache>
            </c:strRef>
          </c:cat>
          <c:val>
            <c:numRef>
              <c:f>HOURS_PERSON_TASK!$C$3:$C$8</c:f>
              <c:numCache>
                <c:formatCode>[h]:mm:ss;@</c:formatCode>
                <c:ptCount val="6"/>
                <c:pt idx="0">
                  <c:v>0.0208333333333334</c:v>
                </c:pt>
                <c:pt idx="1">
                  <c:v>0.0243055555555556</c:v>
                </c:pt>
                <c:pt idx="2">
                  <c:v>0.0347222222222223</c:v>
                </c:pt>
                <c:pt idx="3">
                  <c:v>0.0347222222222223</c:v>
                </c:pt>
                <c:pt idx="5">
                  <c:v>0.114583333333334</c:v>
                </c:pt>
              </c:numCache>
            </c:numRef>
          </c:val>
        </c:ser>
        <c:ser>
          <c:idx val="2"/>
          <c:order val="2"/>
          <c:tx>
            <c:strRef>
              <c:f>HOURS_PERSON_TASK!$D$1:$D$2</c:f>
              <c:strCache>
                <c:ptCount val="1"/>
                <c:pt idx="0">
                  <c:v>R1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HOURS_PERSON_TASK!$A$3:$A$8</c:f>
              <c:strCache>
                <c:ptCount val="6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(empty)</c:v>
                </c:pt>
                <c:pt idx="5">
                  <c:v>Total Result</c:v>
                </c:pt>
              </c:strCache>
            </c:strRef>
          </c:cat>
          <c:val>
            <c:numRef>
              <c:f>HOURS_PERSON_TASK!$D$3:$D$8</c:f>
              <c:numCache>
                <c:formatCode>[h]:mm:ss;@</c:formatCode>
                <c:ptCount val="6"/>
                <c:pt idx="0">
                  <c:v>0.0326388888888889</c:v>
                </c:pt>
                <c:pt idx="1">
                  <c:v>0.0416666666666667</c:v>
                </c:pt>
                <c:pt idx="2">
                  <c:v>0.0395833333333334</c:v>
                </c:pt>
                <c:pt idx="3">
                  <c:v>0.0402777777777778</c:v>
                </c:pt>
                <c:pt idx="5">
                  <c:v>0.154166666666667</c:v>
                </c:pt>
              </c:numCache>
            </c:numRef>
          </c:val>
        </c:ser>
        <c:ser>
          <c:idx val="3"/>
          <c:order val="3"/>
          <c:tx>
            <c:strRef>
              <c:f>HOURS_PERSON_TASK!$E$1:$E$2</c:f>
              <c:strCache>
                <c:ptCount val="1"/>
                <c:pt idx="0">
                  <c:v>R2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HOURS_PERSON_TASK!$A$3:$A$8</c:f>
              <c:strCache>
                <c:ptCount val="6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(empty)</c:v>
                </c:pt>
                <c:pt idx="5">
                  <c:v>Total Result</c:v>
                </c:pt>
              </c:strCache>
            </c:strRef>
          </c:cat>
          <c:val>
            <c:numRef>
              <c:f>HOURS_PERSON_TASK!$E$3:$E$8</c:f>
              <c:numCache>
                <c:formatCode>[h]:mm:ss;@</c:formatCode>
                <c:ptCount val="6"/>
                <c:pt idx="0">
                  <c:v>0.1125</c:v>
                </c:pt>
                <c:pt idx="1">
                  <c:v>0.104166666666667</c:v>
                </c:pt>
                <c:pt idx="2">
                  <c:v>0.114583333333333</c:v>
                </c:pt>
                <c:pt idx="3">
                  <c:v>0.104166666666667</c:v>
                </c:pt>
                <c:pt idx="5">
                  <c:v>0.435416666666667</c:v>
                </c:pt>
              </c:numCache>
            </c:numRef>
          </c:val>
        </c:ser>
        <c:gapWidth val="150"/>
        <c:overlap val="100"/>
        <c:axId val="22073531"/>
        <c:axId val="52739952"/>
      </c:barChart>
      <c:catAx>
        <c:axId val="2207353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739952"/>
        <c:crosses val="autoZero"/>
        <c:auto val="1"/>
        <c:lblAlgn val="ctr"/>
        <c:lblOffset val="100"/>
        <c:noMultiLvlLbl val="0"/>
      </c:catAx>
      <c:valAx>
        <c:axId val="527399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[h]:mm:ss;@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0735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hours task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HOURS_TASK_SUBTASK!$B$1</c:f>
              <c:strCache>
                <c:ptCount val="1"/>
                <c:pt idx="0">
                  <c:v>Suma de DURATION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HOURS_TASK_SUBTASK!$A$2:$A$15</c:f>
              <c:strCache>
                <c:ptCount val="14"/>
                <c:pt idx="0">
                  <c:v>(empty)</c:v>
                </c:pt>
                <c:pt idx="1">
                  <c:v>(empty)</c:v>
                </c:pt>
                <c:pt idx="2">
                  <c:v>R0</c:v>
                </c:pt>
                <c:pt idx="3">
                  <c:v>Idea</c:v>
                </c:pt>
                <c:pt idx="4">
                  <c:v>Description</c:v>
                </c:pt>
                <c:pt idx="5">
                  <c:v>R1</c:v>
                </c:pt>
                <c:pt idx="6">
                  <c:v>Market survey</c:v>
                </c:pt>
                <c:pt idx="7">
                  <c:v>SWOT analysis</c:v>
                </c:pt>
                <c:pt idx="8">
                  <c:v>R2</c:v>
                </c:pt>
                <c:pt idx="9">
                  <c:v>Use cases</c:v>
                </c:pt>
                <c:pt idx="10">
                  <c:v>User stories</c:v>
                </c:pt>
                <c:pt idx="11">
                  <c:v>Jira</c:v>
                </c:pt>
                <c:pt idx="12">
                  <c:v>Technical user stories</c:v>
                </c:pt>
                <c:pt idx="13">
                  <c:v>R3</c:v>
                </c:pt>
              </c:strCache>
            </c:strRef>
          </c:cat>
          <c:val>
            <c:numRef>
              <c:f>HOURS_TASK_SUBTASK!$B$2:$B$15</c:f>
              <c:numCache>
                <c:formatCode>[h]:mm:ss;@</c:formatCode>
                <c:ptCount val="14"/>
                <c:pt idx="2">
                  <c:v>0.114583333333334</c:v>
                </c:pt>
                <c:pt idx="3">
                  <c:v>0.0416666666666668</c:v>
                </c:pt>
                <c:pt idx="4">
                  <c:v>0.0729166666666668</c:v>
                </c:pt>
                <c:pt idx="5">
                  <c:v>0.154166666666667</c:v>
                </c:pt>
                <c:pt idx="6">
                  <c:v>0.0819444444444445</c:v>
                </c:pt>
                <c:pt idx="7">
                  <c:v>0.0722222222222223</c:v>
                </c:pt>
                <c:pt idx="8">
                  <c:v>0.435416666666667</c:v>
                </c:pt>
                <c:pt idx="9">
                  <c:v>0.148611111111111</c:v>
                </c:pt>
                <c:pt idx="10">
                  <c:v>0.163194444444445</c:v>
                </c:pt>
                <c:pt idx="11">
                  <c:v>0.0138888888888889</c:v>
                </c:pt>
                <c:pt idx="12">
                  <c:v>0.109722222222222</c:v>
                </c:pt>
                <c:pt idx="13">
                  <c:v>0.333333333333333</c:v>
                </c:pt>
              </c:numCache>
            </c:numRef>
          </c:val>
        </c:ser>
        <c:gapWidth val="150"/>
        <c:overlap val="0"/>
        <c:axId val="30772320"/>
        <c:axId val="15905633"/>
      </c:barChart>
      <c:catAx>
        <c:axId val="307723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905633"/>
        <c:crosses val="autoZero"/>
        <c:auto val="1"/>
        <c:lblAlgn val="ctr"/>
        <c:lblOffset val="100"/>
        <c:noMultiLvlLbl val="0"/>
      </c:catAx>
      <c:valAx>
        <c:axId val="159056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[h]:mm:ss;@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7723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ES" sz="1800" b="1" u="none" strike="noStrike">
                <a:solidFill>
                  <a:srgbClr val="000000"/>
                </a:solidFill>
                <a:uFillTx/>
                <a:latin typeface="Calibri"/>
              </a:rPr>
              <a:t>hours person day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HOURS_PERSON_DAY!$B$1:$B$2</c:f>
              <c:strCache>
                <c:ptCount val="1"/>
                <c:pt idx="0">
                  <c:v>AUTHOR Dani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HOURS_PERSON_DAY!$A$3:$A$8</c:f>
              <c:strCache>
                <c:ptCount val="6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(empty)</c:v>
                </c:pt>
                <c:pt idx="5">
                  <c:v>5/3/2026</c:v>
                </c:pt>
              </c:strCache>
            </c:strRef>
          </c:cat>
          <c:val>
            <c:numRef>
              <c:f>HOURS_PERSON_DAY!$B$3:$B$8</c:f>
              <c:numCache>
                <c:formatCode>[h]:mm:ss;@</c:formatCode>
                <c:ptCount val="6"/>
                <c:pt idx="0">
                  <c:v>0.0208333333333334</c:v>
                </c:pt>
                <c:pt idx="1">
                  <c:v>0.0326388888888889</c:v>
                </c:pt>
                <c:pt idx="2">
                  <c:v>0.0465277777777778</c:v>
                </c:pt>
                <c:pt idx="3">
                  <c:v>0.0659722222222223</c:v>
                </c:pt>
                <c:pt idx="5">
                  <c:v>0.0590277777777778</c:v>
                </c:pt>
              </c:numCache>
            </c:numRef>
          </c:val>
        </c:ser>
        <c:ser>
          <c:idx val="1"/>
          <c:order val="1"/>
          <c:tx>
            <c:strRef>
              <c:f>HOURS_PERSON_DAY!$C$1:$C$2</c:f>
              <c:strCache>
                <c:ptCount val="1"/>
                <c:pt idx="0">
                  <c:v>Gokan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HOURS_PERSON_DAY!$A$3:$A$8</c:f>
              <c:strCache>
                <c:ptCount val="6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(empty)</c:v>
                </c:pt>
                <c:pt idx="5">
                  <c:v>5/3/2026</c:v>
                </c:pt>
              </c:strCache>
            </c:strRef>
          </c:cat>
          <c:val>
            <c:numRef>
              <c:f>HOURS_PERSON_DAY!$C$3:$C$8</c:f>
              <c:numCache>
                <c:formatCode>[h]:mm:ss;@</c:formatCode>
                <c:ptCount val="6"/>
                <c:pt idx="0">
                  <c:v>0.0243055555555556</c:v>
                </c:pt>
                <c:pt idx="1">
                  <c:v>0.0416666666666667</c:v>
                </c:pt>
                <c:pt idx="2">
                  <c:v>0.0381944444444444</c:v>
                </c:pt>
                <c:pt idx="3">
                  <c:v>0.0659722222222222</c:v>
                </c:pt>
                <c:pt idx="5">
                  <c:v>0.0729166666666667</c:v>
                </c:pt>
              </c:numCache>
            </c:numRef>
          </c:val>
        </c:ser>
        <c:ser>
          <c:idx val="2"/>
          <c:order val="2"/>
          <c:tx>
            <c:strRef>
              <c:f>HOURS_PERSON_DAY!$D$1:$D$2</c:f>
              <c:strCache>
                <c:ptCount val="1"/>
                <c:pt idx="0">
                  <c:v>Luis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HOURS_PERSON_DAY!$A$3:$A$8</c:f>
              <c:strCache>
                <c:ptCount val="6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(empty)</c:v>
                </c:pt>
                <c:pt idx="5">
                  <c:v>5/3/2026</c:v>
                </c:pt>
              </c:strCache>
            </c:strRef>
          </c:cat>
          <c:val>
            <c:numRef>
              <c:f>HOURS_PERSON_DAY!$D$3:$D$8</c:f>
              <c:numCache>
                <c:formatCode>[h]:mm:ss;@</c:formatCode>
                <c:ptCount val="6"/>
                <c:pt idx="0">
                  <c:v>0.0347222222222223</c:v>
                </c:pt>
                <c:pt idx="1">
                  <c:v>0.0395833333333334</c:v>
                </c:pt>
                <c:pt idx="2">
                  <c:v>0.0423611111111111</c:v>
                </c:pt>
                <c:pt idx="3">
                  <c:v>0.0722222222222223</c:v>
                </c:pt>
                <c:pt idx="5">
                  <c:v>0.0618055555555556</c:v>
                </c:pt>
              </c:numCache>
            </c:numRef>
          </c:val>
        </c:ser>
        <c:ser>
          <c:idx val="3"/>
          <c:order val="3"/>
          <c:tx>
            <c:strRef>
              <c:f>HOURS_PERSON_DAY!$E$1:$E$2</c:f>
              <c:strCache>
                <c:ptCount val="1"/>
                <c:pt idx="0">
                  <c:v>Natasa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HOURS_PERSON_DAY!$A$3:$A$8</c:f>
              <c:strCache>
                <c:ptCount val="6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(empty)</c:v>
                </c:pt>
                <c:pt idx="5">
                  <c:v>5/3/2026</c:v>
                </c:pt>
              </c:strCache>
            </c:strRef>
          </c:cat>
          <c:val>
            <c:numRef>
              <c:f>HOURS_PERSON_DAY!$E$3:$E$8</c:f>
              <c:numCache>
                <c:formatCode>[h]:mm:ss;@</c:formatCode>
                <c:ptCount val="6"/>
                <c:pt idx="0">
                  <c:v>0.0347222222222223</c:v>
                </c:pt>
                <c:pt idx="1">
                  <c:v>0.0402777777777778</c:v>
                </c:pt>
                <c:pt idx="2">
                  <c:v>0.0416666666666666</c:v>
                </c:pt>
                <c:pt idx="3">
                  <c:v>0.0625</c:v>
                </c:pt>
                <c:pt idx="5">
                  <c:v>0.0625</c:v>
                </c:pt>
              </c:numCache>
            </c:numRef>
          </c:val>
        </c:ser>
        <c:ser>
          <c:idx val="4"/>
          <c:order val="4"/>
          <c:tx>
            <c:strRef>
              <c:f>HOURS_PERSON_DAY!$F$1:$F$2</c:f>
              <c:strCache>
                <c:ptCount val="1"/>
                <c:pt idx="0">
                  <c:v>(empty)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HOURS_PERSON_DAY!$A$3:$A$8</c:f>
              <c:strCache>
                <c:ptCount val="6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(empty)</c:v>
                </c:pt>
                <c:pt idx="5">
                  <c:v>5/3/2026</c:v>
                </c:pt>
              </c:strCache>
            </c:strRef>
          </c:cat>
          <c:val>
            <c:numRef>
              <c:f>HOURS_PERSON_DAY!$F$3:$F$8</c:f>
              <c:numCache>
                <c:formatCode>General</c:formatCode>
                <c:ptCount val="6"/>
              </c:numCache>
            </c:numRef>
          </c:val>
        </c:ser>
        <c:gapWidth val="150"/>
        <c:overlap val="100"/>
        <c:axId val="35503211"/>
        <c:axId val="64515741"/>
      </c:barChart>
      <c:catAx>
        <c:axId val="3550321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515741"/>
        <c:crosses val="autoZero"/>
        <c:auto val="1"/>
        <c:lblAlgn val="ctr"/>
        <c:lblOffset val="100"/>
        <c:noMultiLvlLbl val="0"/>
      </c:catAx>
      <c:valAx>
        <c:axId val="645157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[h]:mm:ss;@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5032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171360</xdr:colOff>
      <xdr:row>1</xdr:row>
      <xdr:rowOff>9360</xdr:rowOff>
    </xdr:from>
    <xdr:to>
      <xdr:col>6</xdr:col>
      <xdr:colOff>8640</xdr:colOff>
      <xdr:row>30</xdr:row>
      <xdr:rowOff>113400</xdr:rowOff>
    </xdr:to>
    <xdr:graphicFrame>
      <xdr:nvGraphicFramePr>
        <xdr:cNvPr id="1" name="1 Gráfico"/>
        <xdr:cNvGraphicFramePr/>
      </xdr:nvGraphicFramePr>
      <xdr:xfrm>
        <a:off x="171360" y="190440"/>
        <a:ext cx="4676040" cy="535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123840</xdr:colOff>
      <xdr:row>1</xdr:row>
      <xdr:rowOff>19080</xdr:rowOff>
    </xdr:from>
    <xdr:to>
      <xdr:col>18</xdr:col>
      <xdr:colOff>751680</xdr:colOff>
      <xdr:row>15</xdr:row>
      <xdr:rowOff>94680</xdr:rowOff>
    </xdr:to>
    <xdr:graphicFrame>
      <xdr:nvGraphicFramePr>
        <xdr:cNvPr id="2" name="2 Gráfico"/>
        <xdr:cNvGraphicFramePr/>
      </xdr:nvGraphicFramePr>
      <xdr:xfrm>
        <a:off x="4962600" y="200160"/>
        <a:ext cx="1030536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123840</xdr:colOff>
      <xdr:row>16</xdr:row>
      <xdr:rowOff>0</xdr:rowOff>
    </xdr:from>
    <xdr:to>
      <xdr:col>18</xdr:col>
      <xdr:colOff>805680</xdr:colOff>
      <xdr:row>30</xdr:row>
      <xdr:rowOff>75600</xdr:rowOff>
    </xdr:to>
    <xdr:graphicFrame>
      <xdr:nvGraphicFramePr>
        <xdr:cNvPr id="3" name="4 Gráfico"/>
        <xdr:cNvGraphicFramePr/>
      </xdr:nvGraphicFramePr>
      <xdr:xfrm>
        <a:off x="4962600" y="2895480"/>
        <a:ext cx="1035936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99" createdVersion="3">
  <cacheSource type="worksheet">
    <worksheetSource ref="A:G" sheet="TRACKING"/>
  </cacheSource>
  <cacheFields count="10">
    <cacheField name="DATE" numFmtId="0">
      <sharedItems containsDate="1" containsBlank="1" containsMixedTypes="1" minDate="2026-02-05T00:00:00" maxDate="2026-12-02T00:00:00" count="8">
        <d v="2026-02-05T00:00:00"/>
        <d v="2026-05-03T00:00:00"/>
        <d v="2026-07-03T00:00:00"/>
        <d v="2026-08-03T00:00:00"/>
        <d v="2026-12-02T00:00:00"/>
        <s v="19/2/2026"/>
        <s v="26/2/2026"/>
        <m/>
      </sharedItems>
    </cacheField>
    <cacheField name="STARTING TIME" numFmtId="0">
      <sharedItems containsString="0" containsBlank="1" containsNumber="1" minValue="0.5" maxValue="0.735416666666667" count="19">
        <n v="0.5"/>
        <n v="0.666666666666667"/>
        <n v="0.670138888888889"/>
        <n v="0.673611111111111"/>
        <n v="0.675"/>
        <n v="0.677083333333333"/>
        <n v="0.680555555555556"/>
        <n v="0.6875"/>
        <n v="0.688194444444444"/>
        <n v="0.694444444444444"/>
        <n v="0.695138888888889"/>
        <n v="0.695833333333333"/>
        <n v="0.697916666666667"/>
        <n v="0.704861111111111"/>
        <n v="0.708333333333333"/>
        <n v="0.714583333333333"/>
        <n v="0.729166666666667"/>
        <n v="0.735416666666667"/>
        <m/>
      </sharedItems>
      <fieldGroup base="1">
        <rangePr groupBy="hours" startDate="1899-12-30T00:00:00" endDate="1899-12-31T00:00:00"/>
        <groupItems count="26">
          <s v="&lt;12/30/1899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2/31/1899"/>
        </groupItems>
      </fieldGroup>
    </cacheField>
    <cacheField name="FINAL TIME" numFmtId="0">
      <sharedItems containsString="0" containsBlank="1" containsNumber="1" minValue="0.514583333333333" maxValue="0.75" count="20">
        <n v="0.514583333333333"/>
        <n v="0.677083333333333"/>
        <n v="0.6875"/>
        <n v="0.694444444444444"/>
        <n v="0.695833333333333"/>
        <n v="0.696527777777778"/>
        <n v="0.697916666666667"/>
        <n v="0.701388888888889"/>
        <n v="0.704861111111111"/>
        <n v="0.708333333333333"/>
        <n v="0.713888888888889"/>
        <n v="0.715277777777778"/>
        <n v="0.715972222222222"/>
        <n v="0.729166666666667"/>
        <n v="0.734027777777778"/>
        <n v="0.736111111111111"/>
        <n v="0.739583333333333"/>
        <n v="0.741666666666667"/>
        <n v="0.75"/>
        <m/>
      </sharedItems>
      <fieldGroup base="2">
        <rangePr groupBy="minutes" startDate="1899-12-30T00:00:00" endDate="1899-12-31T00:00:00"/>
        <groupItems count="62">
          <s v="&lt;12/30/1899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2/31/1899"/>
        </groupItems>
      </fieldGroup>
    </cacheField>
    <cacheField name="TASK" numFmtId="0">
      <sharedItems containsBlank="1" count="5">
        <s v="R0"/>
        <s v="R1"/>
        <s v="R2"/>
        <s v="R3"/>
        <m/>
      </sharedItems>
    </cacheField>
    <cacheField name="SUBTASK" numFmtId="0">
      <sharedItems containsBlank="1" count="11">
        <s v="Description"/>
        <s v="Idea"/>
        <s v="Jira"/>
        <s v="Market survey"/>
        <s v="Planning poker"/>
        <s v="Planning with ProjectLibre"/>
        <s v="SWOT analysis"/>
        <s v="Technical user stories"/>
        <s v="Use cases"/>
        <s v="User stories"/>
        <m/>
      </sharedItems>
    </cacheField>
    <cacheField name="AUTHOR" numFmtId="0">
      <sharedItems containsBlank="1" count="5">
        <s v="Dani"/>
        <s v="Gokan"/>
        <s v="Luis"/>
        <s v="Natasa"/>
        <m/>
      </sharedItems>
    </cacheField>
    <cacheField name="DURATION" numFmtId="0">
      <sharedItems containsBlank="1" containsMixedTypes="1" containsNumber="1" minValue="0.00625" maxValue="0.0729166666666667" count="25">
        <n v="0.00625"/>
        <n v="0.00694444444444444"/>
        <n v="0.00902777777777778"/>
        <n v="0.0104166666666667"/>
        <n v="0.0138888888888889"/>
        <n v="0.0145833333333333"/>
        <n v="0.0173611111111111"/>
        <n v="0.0180555555555556"/>
        <n v="0.01875"/>
        <n v="0.0201388888888889"/>
        <n v="0.0215277777777778"/>
        <n v="0.0222222222222222"/>
        <n v="0.0243055555555556"/>
        <n v="0.0277777777777778"/>
        <n v="0.03125"/>
        <n v="0.0347222222222222"/>
        <n v="0.0354166666666667"/>
        <n v="0.0361111111111111"/>
        <n v="0.0416666666666667"/>
        <n v="0.0465277777777778"/>
        <n v="0.0590277777777778"/>
        <n v="0.0625"/>
        <n v="0.0729166666666667"/>
        <s v=""/>
        <m/>
      </sharedItems>
    </cacheField>
    <cacheField name="Hours" numFmtId="0" databaseField="0">
      <fieldGroup base="2">
        <rangePr groupBy="hours" startDate="1899-12-30T00:00:00" endDate="1899-12-31T00:00:00"/>
        <groupItems count="26">
          <s v="&lt;12/30/1899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2/31/1899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99">
  <r>
    <x v="0"/>
    <x v="5"/>
    <x v="2"/>
    <x v="0"/>
    <x v="1"/>
    <x v="0"/>
    <x v="3"/>
  </r>
  <r>
    <x v="0"/>
    <x v="5"/>
    <x v="2"/>
    <x v="0"/>
    <x v="1"/>
    <x v="1"/>
    <x v="3"/>
  </r>
  <r>
    <x v="0"/>
    <x v="7"/>
    <x v="7"/>
    <x v="0"/>
    <x v="0"/>
    <x v="1"/>
    <x v="4"/>
  </r>
  <r>
    <x v="0"/>
    <x v="1"/>
    <x v="1"/>
    <x v="0"/>
    <x v="1"/>
    <x v="3"/>
    <x v="3"/>
  </r>
  <r>
    <x v="0"/>
    <x v="5"/>
    <x v="7"/>
    <x v="0"/>
    <x v="0"/>
    <x v="3"/>
    <x v="12"/>
  </r>
  <r>
    <x v="0"/>
    <x v="7"/>
    <x v="6"/>
    <x v="0"/>
    <x v="0"/>
    <x v="0"/>
    <x v="3"/>
  </r>
  <r>
    <x v="0"/>
    <x v="1"/>
    <x v="1"/>
    <x v="0"/>
    <x v="1"/>
    <x v="2"/>
    <x v="3"/>
  </r>
  <r>
    <x v="0"/>
    <x v="5"/>
    <x v="7"/>
    <x v="0"/>
    <x v="0"/>
    <x v="2"/>
    <x v="12"/>
  </r>
  <r>
    <x v="4"/>
    <x v="6"/>
    <x v="3"/>
    <x v="1"/>
    <x v="3"/>
    <x v="0"/>
    <x v="4"/>
  </r>
  <r>
    <x v="4"/>
    <x v="10"/>
    <x v="10"/>
    <x v="1"/>
    <x v="6"/>
    <x v="0"/>
    <x v="8"/>
  </r>
  <r>
    <x v="4"/>
    <x v="4"/>
    <x v="5"/>
    <x v="1"/>
    <x v="3"/>
    <x v="2"/>
    <x v="10"/>
  </r>
  <r>
    <x v="4"/>
    <x v="12"/>
    <x v="12"/>
    <x v="1"/>
    <x v="6"/>
    <x v="2"/>
    <x v="7"/>
  </r>
  <r>
    <x v="4"/>
    <x v="3"/>
    <x v="4"/>
    <x v="1"/>
    <x v="3"/>
    <x v="3"/>
    <x v="11"/>
  </r>
  <r>
    <x v="4"/>
    <x v="11"/>
    <x v="10"/>
    <x v="1"/>
    <x v="6"/>
    <x v="3"/>
    <x v="7"/>
  </r>
  <r>
    <x v="4"/>
    <x v="3"/>
    <x v="6"/>
    <x v="1"/>
    <x v="3"/>
    <x v="1"/>
    <x v="12"/>
  </r>
  <r>
    <x v="4"/>
    <x v="12"/>
    <x v="11"/>
    <x v="1"/>
    <x v="6"/>
    <x v="1"/>
    <x v="6"/>
  </r>
  <r>
    <x v="5"/>
    <x v="12"/>
    <x v="14"/>
    <x v="2"/>
    <x v="8"/>
    <x v="2"/>
    <x v="17"/>
  </r>
  <r>
    <x v="5"/>
    <x v="7"/>
    <x v="14"/>
    <x v="2"/>
    <x v="8"/>
    <x v="0"/>
    <x v="19"/>
  </r>
  <r>
    <x v="5"/>
    <x v="17"/>
    <x v="17"/>
    <x v="2"/>
    <x v="9"/>
    <x v="2"/>
    <x v="0"/>
  </r>
  <r>
    <x v="5"/>
    <x v="12"/>
    <x v="13"/>
    <x v="2"/>
    <x v="8"/>
    <x v="1"/>
    <x v="14"/>
  </r>
  <r>
    <x v="5"/>
    <x v="9"/>
    <x v="13"/>
    <x v="2"/>
    <x v="8"/>
    <x v="3"/>
    <x v="15"/>
  </r>
  <r>
    <x v="5"/>
    <x v="16"/>
    <x v="15"/>
    <x v="2"/>
    <x v="2"/>
    <x v="3"/>
    <x v="1"/>
  </r>
  <r>
    <x v="5"/>
    <x v="16"/>
    <x v="15"/>
    <x v="2"/>
    <x v="2"/>
    <x v="1"/>
    <x v="1"/>
  </r>
  <r>
    <x v="6"/>
    <x v="5"/>
    <x v="8"/>
    <x v="2"/>
    <x v="9"/>
    <x v="2"/>
    <x v="13"/>
  </r>
  <r>
    <x v="6"/>
    <x v="2"/>
    <x v="3"/>
    <x v="2"/>
    <x v="9"/>
    <x v="0"/>
    <x v="12"/>
  </r>
  <r>
    <x v="6"/>
    <x v="9"/>
    <x v="15"/>
    <x v="2"/>
    <x v="7"/>
    <x v="0"/>
    <x v="18"/>
  </r>
  <r>
    <x v="6"/>
    <x v="13"/>
    <x v="10"/>
    <x v="2"/>
    <x v="7"/>
    <x v="2"/>
    <x v="2"/>
  </r>
  <r>
    <x v="6"/>
    <x v="15"/>
    <x v="18"/>
    <x v="2"/>
    <x v="9"/>
    <x v="2"/>
    <x v="16"/>
  </r>
  <r>
    <x v="6"/>
    <x v="2"/>
    <x v="8"/>
    <x v="2"/>
    <x v="9"/>
    <x v="1"/>
    <x v="15"/>
  </r>
  <r>
    <x v="6"/>
    <x v="14"/>
    <x v="16"/>
    <x v="2"/>
    <x v="7"/>
    <x v="1"/>
    <x v="14"/>
  </r>
  <r>
    <x v="6"/>
    <x v="3"/>
    <x v="9"/>
    <x v="2"/>
    <x v="9"/>
    <x v="3"/>
    <x v="15"/>
  </r>
  <r>
    <x v="6"/>
    <x v="14"/>
    <x v="15"/>
    <x v="2"/>
    <x v="7"/>
    <x v="3"/>
    <x v="13"/>
  </r>
  <r>
    <x v="1"/>
    <x v="8"/>
    <x v="9"/>
    <x v="3"/>
    <x v="4"/>
    <x v="2"/>
    <x v="9"/>
  </r>
  <r>
    <x v="1"/>
    <x v="5"/>
    <x v="15"/>
    <x v="3"/>
    <x v="4"/>
    <x v="0"/>
    <x v="20"/>
  </r>
  <r>
    <x v="1"/>
    <x v="14"/>
    <x v="18"/>
    <x v="3"/>
    <x v="4"/>
    <x v="2"/>
    <x v="18"/>
  </r>
  <r>
    <x v="1"/>
    <x v="5"/>
    <x v="18"/>
    <x v="3"/>
    <x v="4"/>
    <x v="1"/>
    <x v="22"/>
  </r>
  <r>
    <x v="1"/>
    <x v="5"/>
    <x v="16"/>
    <x v="3"/>
    <x v="4"/>
    <x v="3"/>
    <x v="21"/>
  </r>
  <r>
    <x v="3"/>
    <x v="0"/>
    <x v="0"/>
    <x v="3"/>
    <x v="2"/>
    <x v="2"/>
    <x v="5"/>
  </r>
  <r>
    <x v="2"/>
    <x v="1"/>
    <x v="13"/>
    <x v="3"/>
    <x v="5"/>
    <x v="0"/>
    <x v="21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  <r>
    <x v="7"/>
    <x v="18"/>
    <x v="19"/>
    <x v="4"/>
    <x v="10"/>
    <x v="4"/>
    <x v="2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a dinámica6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1:B19" firstHeaderRow="1" firstDataRow="1" firstDataCol="1"/>
  <pivotFields count="10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axis="axisRow" showAll="0">
      <items count="12">
        <item x="10"/>
        <item x="1"/>
        <item x="0"/>
        <item x="3"/>
        <item x="6"/>
        <item x="8"/>
        <item x="9"/>
        <item x="2"/>
        <item x="7"/>
        <item x="4"/>
        <item x="5"/>
        <item t="default"/>
      </items>
    </pivotField>
    <pivotField showAll="0"/>
    <pivotField dataField="1" showAll="0"/>
    <pivotField showAll="0"/>
    <pivotField compact="0" showAll="0"/>
    <pivotField compact="0" showAll="0"/>
  </pivotFields>
  <rowFields count="2">
    <field x="3"/>
    <field x="4"/>
  </rowFields>
  <rowItems count="18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 v="17"/>
    </i>
  </rowItems>
  <colItems count="1">
    <i t="grand">
      <x v="0"/>
    </i>
  </colItems>
  <dataFields count="1">
    <dataField name="Suma de DURATION" fld="6" subtotal="sum" numFmtId="165"/>
  </dataFields>
  <formats count="2">
    <format dxfId="3">
      <pivotArea outline="0" fieldPosition="0"/>
    </format>
    <format dxfId="4">
      <pivotArea dataOnly="0" labelOnly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la dinámica3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1:G8" firstHeaderRow="1" firstDataRow="2" firstDataCol="1"/>
  <pivotFields count="10">
    <pivotField showAll="0"/>
    <pivotField showAll="0"/>
    <pivotField showAll="0"/>
    <pivotField axis="axisCol" showAll="0">
      <items count="6">
        <item x="4"/>
        <item x="0"/>
        <item x="1"/>
        <item x="2"/>
        <item x="3"/>
        <item t="default"/>
      </items>
    </pivotField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compact="0" showAll="0"/>
    <pivotField compact="0" showAll="0"/>
  </pivotFields>
  <rowFields count="1">
    <field x="5"/>
  </rowFields>
  <rowItems count="6">
    <i>
      <x v="0"/>
    </i>
    <i>
      <x v="1"/>
    </i>
    <i>
      <x v="2"/>
    </i>
    <i>
      <x v="3"/>
    </i>
    <i>
      <x v="4"/>
    </i>
    <i t="grand">
      <x v="5"/>
    </i>
  </rowItems>
  <colFields count="1">
    <field x="3"/>
  </colFields>
  <colItems count="6">
    <i>
      <x v="0"/>
    </i>
    <i>
      <x v="1"/>
    </i>
    <i>
      <x v="2"/>
    </i>
    <i>
      <x v="3"/>
    </i>
    <i>
      <x v="4"/>
    </i>
    <i t="grand">
      <x v="5"/>
    </i>
  </colItems>
  <dataFields count="1">
    <dataField name="Suma de DURATION" fld="6" subtotal="sum" numFmtId="165"/>
  </dataFields>
  <formats count="3">
    <format dxfId="5">
      <pivotArea dataOnly="0" labelOnly="1" outline="0" fieldPosition="0"/>
    </format>
    <format dxfId="6">
      <pivotArea outline="0" fieldPosition="0"/>
    </format>
    <format dxfId="7">
      <pivotArea dataOnly="0" labelOnly="1" outline="0" fieldPosition="0"/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1:G11" firstHeaderRow="1" firstDataRow="2" firstDataCol="1"/>
  <pivotFields count="10">
    <pivotField axis="axisRow" showAll="0">
      <items count="9">
        <item x="0"/>
        <item x="4"/>
        <item x="5"/>
        <item x="6"/>
        <item x="7"/>
        <item x="1"/>
        <item x="3"/>
        <item x="2"/>
        <item t="default"/>
      </items>
    </pivotField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compact="0" showAll="0"/>
    <pivotField compact="0" showAll="0"/>
  </pivotFields>
  <rowFields count="1">
    <field x="0"/>
  </rowFields>
  <rowItems count="9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 t="grand">
      <x v="8"/>
    </i>
  </rowItems>
  <colFields count="1">
    <field x="5"/>
  </colFields>
  <colItems count="6">
    <i>
      <x v="0"/>
    </i>
    <i>
      <x v="1"/>
    </i>
    <i>
      <x v="2"/>
    </i>
    <i>
      <x v="3"/>
    </i>
    <i>
      <x v="4"/>
    </i>
    <i t="grand">
      <x v="5"/>
    </i>
  </colItems>
  <dataFields count="1">
    <dataField name="Suma de DURATION" fld="6" subtotal="sum" numFmtId="165"/>
  </dataFields>
  <formats count="3">
    <format dxfId="8">
      <pivotArea dataOnly="0" labelOnly="1" outline="0" fieldPosition="0"/>
    </format>
    <format dxfId="9">
      <pivotArea outline="0" fieldPosition="0"/>
    </format>
    <format dxfId="10">
      <pivotArea dataOnly="0" labelOnly="1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6" activeCellId="0" sqref="B16"/>
    </sheetView>
  </sheetViews>
  <sheetFormatPr defaultColWidth="11.4453125" defaultRowHeight="14.25" customHeight="false" zeroHeight="false" outlineLevelRow="0" outlineLevelCol="0"/>
  <cols>
    <col collapsed="false" customWidth="true" hidden="false" outlineLevel="0" max="2" min="2" style="1" width="27.44"/>
    <col collapsed="false" customWidth="true" hidden="false" outlineLevel="0" max="3" min="3" style="1" width="20.22"/>
  </cols>
  <sheetData>
    <row r="1" s="3" customFormat="true" ht="14.2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4.25" hidden="false" customHeight="false" outlineLevel="0" collapsed="false">
      <c r="A2" s="4" t="s">
        <v>3</v>
      </c>
      <c r="B2" s="5" t="s">
        <v>4</v>
      </c>
      <c r="C2" s="5" t="s">
        <v>5</v>
      </c>
    </row>
    <row r="3" customFormat="false" ht="14.25" hidden="false" customHeight="false" outlineLevel="0" collapsed="false">
      <c r="A3" s="4" t="s">
        <v>6</v>
      </c>
      <c r="B3" s="5" t="s">
        <v>7</v>
      </c>
      <c r="C3" s="5" t="s">
        <v>6</v>
      </c>
    </row>
    <row r="4" customFormat="false" ht="14.25" hidden="false" customHeight="false" outlineLevel="0" collapsed="false">
      <c r="A4" s="4" t="s">
        <v>8</v>
      </c>
      <c r="B4" s="5" t="s">
        <v>9</v>
      </c>
      <c r="C4" s="5" t="s">
        <v>10</v>
      </c>
    </row>
    <row r="5" customFormat="false" ht="14.25" hidden="false" customHeight="false" outlineLevel="0" collapsed="false">
      <c r="A5" s="4" t="s">
        <v>11</v>
      </c>
      <c r="B5" s="5" t="s">
        <v>12</v>
      </c>
      <c r="C5" s="5" t="s">
        <v>13</v>
      </c>
    </row>
    <row r="6" customFormat="false" ht="14.25" hidden="false" customHeight="false" outlineLevel="0" collapsed="false">
      <c r="A6" s="4"/>
      <c r="B6" s="5"/>
      <c r="C6" s="5"/>
    </row>
    <row r="7" customFormat="false" ht="14.25" hidden="false" customHeight="false" outlineLevel="0" collapsed="false">
      <c r="A7" s="4"/>
      <c r="B7" s="5"/>
      <c r="C7" s="5"/>
    </row>
    <row r="8" customFormat="false" ht="14.25" hidden="false" customHeight="false" outlineLevel="0" collapsed="false">
      <c r="A8" s="4"/>
      <c r="B8" s="5"/>
      <c r="C8" s="5"/>
    </row>
    <row r="9" customFormat="false" ht="14.25" hidden="false" customHeight="false" outlineLevel="0" collapsed="false">
      <c r="A9" s="4"/>
      <c r="B9" s="5"/>
      <c r="C9" s="5"/>
    </row>
    <row r="10" customFormat="false" ht="14.25" hidden="false" customHeight="false" outlineLevel="0" collapsed="false">
      <c r="A10" s="4"/>
      <c r="B10" s="5"/>
      <c r="C10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4453125" defaultRowHeight="14.25" customHeight="false" zeroHeight="false" outlineLevelRow="0" outlineLevelCol="0"/>
  <cols>
    <col collapsed="false" customWidth="true" hidden="false" outlineLevel="0" max="1" min="1" style="6" width="28.22"/>
    <col collapsed="false" customWidth="true" hidden="false" outlineLevel="0" max="2" min="2" style="6" width="39.78"/>
    <col collapsed="false" customWidth="true" hidden="false" outlineLevel="0" max="3" min="3" style="7" width="20.22"/>
    <col collapsed="false" customWidth="true" hidden="false" outlineLevel="0" max="4" min="4" style="8" width="18.56"/>
    <col collapsed="false" customWidth="true" hidden="false" outlineLevel="0" max="5" min="5" style="9" width="6.77"/>
    <col collapsed="false" customWidth="true" hidden="false" outlineLevel="0" max="6" min="6" style="8" width="16.77"/>
    <col collapsed="false" customWidth="true" hidden="false" outlineLevel="0" max="7" min="7" style="8" width="15"/>
    <col collapsed="false" customWidth="false" hidden="false" outlineLevel="0" max="8" min="8" style="10" width="11.44"/>
  </cols>
  <sheetData>
    <row r="1" s="2" customFormat="true" ht="14.25" hidden="false" customHeight="false" outlineLevel="0" collapsed="false">
      <c r="A1" s="11" t="s">
        <v>14</v>
      </c>
      <c r="B1" s="11" t="s">
        <v>15</v>
      </c>
      <c r="C1" s="12" t="s">
        <v>16</v>
      </c>
      <c r="D1" s="13" t="s">
        <v>17</v>
      </c>
      <c r="E1" s="14" t="s">
        <v>18</v>
      </c>
      <c r="F1" s="13" t="s">
        <v>19</v>
      </c>
      <c r="G1" s="13" t="s">
        <v>20</v>
      </c>
      <c r="H1" s="15" t="s">
        <v>21</v>
      </c>
    </row>
    <row r="2" customFormat="false" ht="14.25" hidden="false" customHeight="false" outlineLevel="0" collapsed="false">
      <c r="A2" s="16" t="s">
        <v>22</v>
      </c>
      <c r="B2" s="16"/>
      <c r="C2" s="17"/>
      <c r="D2" s="18" t="str">
        <f aca="false">IF(B2="","",SUMIF(TRACKING!E:E,B2,TRACKING!G:G))</f>
        <v/>
      </c>
      <c r="E2" s="19" t="n">
        <f aca="false">IF(AND(A2="",B2=""),"",COUNTIF(D$1:D2,"")-1)</f>
        <v>0</v>
      </c>
      <c r="F2" s="18" t="n">
        <f aca="false">IF(A2="","",SUMIF(E:E,E2,C:C))</f>
        <v>0.0833333333333334</v>
      </c>
      <c r="G2" s="18" t="n">
        <f aca="false">IF(A2="","",SUMIF(TRACKING!D:D,A2,TRACKING!G:G))</f>
        <v>0.114583333333334</v>
      </c>
      <c r="H2" s="20" t="n">
        <f aca="false">IFERROR(IF(A2="",IF(B2="","",D2/C2*100-100),G2/F2*100-100),"")</f>
        <v>37.5000000000002</v>
      </c>
    </row>
    <row r="3" customFormat="false" ht="14.25" hidden="false" customHeight="false" outlineLevel="0" collapsed="false">
      <c r="A3" s="16"/>
      <c r="B3" s="16" t="s">
        <v>23</v>
      </c>
      <c r="C3" s="17" t="n">
        <v>0.0416666666666667</v>
      </c>
      <c r="D3" s="18" t="n">
        <f aca="false">IF(B3="","",SUMIF(TRACKING!E:E,B3,TRACKING!G:G))</f>
        <v>0.0416666666666668</v>
      </c>
      <c r="E3" s="19" t="n">
        <f aca="false">IF(AND(A3="",B3=""),"",COUNTIF(D$1:D3,"")-1)</f>
        <v>0</v>
      </c>
      <c r="F3" s="18" t="str">
        <f aca="false">IF(A3="","",SUMIF(E:E,E3,C:C))</f>
        <v/>
      </c>
      <c r="G3" s="18" t="str">
        <f aca="false">IF(A3="","",SUMIF(TRACKING!D:D,A3,TRACKING!G:G))</f>
        <v/>
      </c>
      <c r="H3" s="20" t="n">
        <f aca="false">IFERROR(IF(A3="",IF(B3="","",D3/C3*100-100),G3/F3*100-100),"")</f>
        <v>0</v>
      </c>
    </row>
    <row r="4" customFormat="false" ht="14.25" hidden="false" customHeight="false" outlineLevel="0" collapsed="false">
      <c r="A4" s="16"/>
      <c r="B4" s="16" t="s">
        <v>24</v>
      </c>
      <c r="C4" s="17" t="n">
        <v>0.0416666666666667</v>
      </c>
      <c r="D4" s="18" t="n">
        <f aca="false">IF(B4="","",SUMIF(TRACKING!E:E,B4,TRACKING!G:G))</f>
        <v>0.0729166666666668</v>
      </c>
      <c r="E4" s="19" t="n">
        <f aca="false">IF(AND(A4="",B4=""),"",COUNTIF(D$1:D4,"")-1)</f>
        <v>0</v>
      </c>
      <c r="F4" s="18" t="str">
        <f aca="false">IF(A4="","",SUMIF(E:E,E4,C:C))</f>
        <v/>
      </c>
      <c r="G4" s="18" t="str">
        <f aca="false">IF(A4="","",SUMIF(TRACKING!D:D,A4,TRACKING!G:G))</f>
        <v/>
      </c>
      <c r="H4" s="20" t="n">
        <f aca="false">IFERROR(IF(A4="",IF(B4="","",D4/C4*100-100),G4/F4*100-100),"")</f>
        <v>75.0000000000002</v>
      </c>
    </row>
    <row r="5" customFormat="false" ht="14.25" hidden="false" customHeight="false" outlineLevel="0" collapsed="false">
      <c r="A5" s="16" t="s">
        <v>25</v>
      </c>
      <c r="B5" s="16"/>
      <c r="C5" s="17"/>
      <c r="D5" s="18" t="str">
        <f aca="false">IF(B5="","",SUMIF(TRACKING!E:E,B5,TRACKING!G:G))</f>
        <v/>
      </c>
      <c r="E5" s="19" t="n">
        <f aca="false">IF(AND(A5="",B5=""),"",COUNTIF(D$1:D5,"")-1)</f>
        <v>1</v>
      </c>
      <c r="F5" s="18" t="n">
        <f aca="false">IF(A5="","",SUMIF(E:E,E5,C:C))</f>
        <v>0.166666666666667</v>
      </c>
      <c r="G5" s="18" t="n">
        <f aca="false">IF(A5="","",SUMIF(TRACKING!D:D,A5,TRACKING!G:G))</f>
        <v>0.154166666666667</v>
      </c>
      <c r="H5" s="20" t="n">
        <f aca="false">IFERROR(IF(A5="",IF(B5="","",D5/C5*100-100),G5/F5*100-100),"")</f>
        <v>-7.4999999999999</v>
      </c>
    </row>
    <row r="6" customFormat="false" ht="14.25" hidden="false" customHeight="false" outlineLevel="0" collapsed="false">
      <c r="A6" s="16"/>
      <c r="B6" s="16" t="s">
        <v>26</v>
      </c>
      <c r="C6" s="17" t="n">
        <v>0.0833333333333333</v>
      </c>
      <c r="D6" s="18" t="n">
        <f aca="false">IF(B6="","",SUMIF(TRACKING!E:E,B6,TRACKING!G:G))</f>
        <v>0.0819444444444445</v>
      </c>
      <c r="E6" s="19" t="n">
        <f aca="false">IF(AND(A6="",B6=""),"",COUNTIF(D$1:D6,"")-1)</f>
        <v>1</v>
      </c>
      <c r="F6" s="18" t="str">
        <f aca="false">IF(A6="","",SUMIF(E:E,E6,C:C))</f>
        <v/>
      </c>
      <c r="G6" s="18" t="str">
        <f aca="false">IF(A6="","",SUMIF(TRACKING!D:D,A6,TRACKING!G:G))</f>
        <v/>
      </c>
      <c r="H6" s="20" t="n">
        <f aca="false">IFERROR(IF(A6="",IF(B6="","",D6/C6*100-100),G6/F6*100-100),"")</f>
        <v>-1.66666666666656</v>
      </c>
    </row>
    <row r="7" customFormat="false" ht="14.25" hidden="false" customHeight="false" outlineLevel="0" collapsed="false">
      <c r="A7" s="16"/>
      <c r="B7" s="16" t="s">
        <v>27</v>
      </c>
      <c r="C7" s="17" t="n">
        <v>0.0833333333333333</v>
      </c>
      <c r="D7" s="18" t="n">
        <f aca="false">IF(B7="","",SUMIF(TRACKING!E:E,B7,TRACKING!G:G))</f>
        <v>0.0722222222222223</v>
      </c>
      <c r="E7" s="19" t="n">
        <f aca="false">IF(AND(A7="",B7=""),"",COUNTIF(D$1:D7,"")-1)</f>
        <v>1</v>
      </c>
      <c r="F7" s="18" t="str">
        <f aca="false">IF(A7="","",SUMIF(E:E,E7,C:C))</f>
        <v/>
      </c>
      <c r="G7" s="18" t="str">
        <f aca="false">IF(A7="","",SUMIF(TRACKING!D:D,A7,TRACKING!G:G))</f>
        <v/>
      </c>
      <c r="H7" s="20" t="n">
        <f aca="false">IFERROR(IF(A7="",IF(B7="","",D7/C7*100-100),G7/F7*100-100),"")</f>
        <v>-13.3333333333332</v>
      </c>
    </row>
    <row r="8" customFormat="false" ht="14.25" hidden="false" customHeight="false" outlineLevel="0" collapsed="false">
      <c r="A8" s="16" t="s">
        <v>28</v>
      </c>
      <c r="B8" s="16"/>
      <c r="C8" s="17"/>
      <c r="D8" s="18" t="str">
        <f aca="false">IF(B8="","",SUMIF(TRACKING!E:E,B8,TRACKING!G:G))</f>
        <v/>
      </c>
      <c r="E8" s="19" t="n">
        <f aca="false">IF(AND(A8="",B8=""),"",COUNTIF(D$1:D8,"")-1)</f>
        <v>2</v>
      </c>
      <c r="F8" s="18" t="n">
        <f aca="false">IF(A8="","",SUMIF(E:E,E8,C:C))</f>
        <v>0.270833333333333</v>
      </c>
      <c r="G8" s="18" t="n">
        <f aca="false">IF(A8="","",SUMIF(TRACKING!D:D,A8,TRACKING!G:G))</f>
        <v>0.435416666666667</v>
      </c>
      <c r="H8" s="20" t="n">
        <f aca="false">IFERROR(IF(A8="",IF(B8="","",D8/C8*100-100),G8/F8*100-100),"")</f>
        <v>60.7692307692308</v>
      </c>
    </row>
    <row r="9" customFormat="false" ht="14.25" hidden="false" customHeight="false" outlineLevel="0" collapsed="false">
      <c r="A9" s="16"/>
      <c r="B9" s="16" t="s">
        <v>29</v>
      </c>
      <c r="C9" s="17" t="n">
        <v>0.125</v>
      </c>
      <c r="D9" s="18" t="n">
        <f aca="false">IF(B9="","",SUMIF(TRACKING!E:E,B9,TRACKING!G:G))</f>
        <v>0.148611111111111</v>
      </c>
      <c r="E9" s="19" t="n">
        <f aca="false">IF(AND(A9="",B9=""),"",COUNTIF(D$1:D9,"")-1)</f>
        <v>2</v>
      </c>
      <c r="F9" s="18" t="str">
        <f aca="false">IF(A9="","",SUMIF(E:E,E9,C:C))</f>
        <v/>
      </c>
      <c r="G9" s="18" t="str">
        <f aca="false">IF(A9="","",SUMIF(TRACKING!D:D,A9,TRACKING!G:G))</f>
        <v/>
      </c>
      <c r="H9" s="20" t="n">
        <f aca="false">IFERROR(IF(A9="",IF(B9="","",D9/C9*100-100),G9/F9*100-100),"")</f>
        <v>18.8888888888889</v>
      </c>
    </row>
    <row r="10" customFormat="false" ht="14.25" hidden="false" customHeight="false" outlineLevel="0" collapsed="false">
      <c r="A10" s="16"/>
      <c r="B10" s="16" t="s">
        <v>30</v>
      </c>
      <c r="C10" s="17" t="n">
        <v>0.0625</v>
      </c>
      <c r="D10" s="18" t="n">
        <f aca="false">IF(B10="","",SUMIF(TRACKING!E:E,B10,TRACKING!G:G))</f>
        <v>0.163194444444445</v>
      </c>
      <c r="E10" s="19" t="n">
        <f aca="false">IF(AND(A10="",B10=""),"",COUNTIF(D$1:D10,"")-1)</f>
        <v>2</v>
      </c>
      <c r="F10" s="18" t="str">
        <f aca="false">IF(A10="","",SUMIF(E:E,E10,C:C))</f>
        <v/>
      </c>
      <c r="G10" s="18" t="str">
        <f aca="false">IF(A10="","",SUMIF(TRACKING!D:D,A10,TRACKING!G:G))</f>
        <v/>
      </c>
      <c r="H10" s="20" t="n">
        <f aca="false">IFERROR(IF(A10="",IF(B10="","",D10/C10*100-100),G10/F10*100-100),"")</f>
        <v>161.111111111111</v>
      </c>
    </row>
    <row r="11" customFormat="false" ht="14.25" hidden="false" customHeight="false" outlineLevel="0" collapsed="false">
      <c r="A11" s="16"/>
      <c r="B11" s="16" t="s">
        <v>31</v>
      </c>
      <c r="C11" s="17" t="n">
        <v>0.0833333333333333</v>
      </c>
      <c r="D11" s="18" t="n">
        <f aca="false">IF(B11="","",SUMIF(TRACKING!E:E,B11,TRACKING!G:G))</f>
        <v>0.109722222222222</v>
      </c>
      <c r="E11" s="19" t="n">
        <f aca="false">IF(AND(A11="",B11=""),"",COUNTIF(D$1:D11,"")-1)</f>
        <v>2</v>
      </c>
      <c r="F11" s="18" t="str">
        <f aca="false">IF(A11="","",SUMIF(E:E,E11,C:C))</f>
        <v/>
      </c>
      <c r="G11" s="18" t="str">
        <f aca="false">IF(A11="","",SUMIF(TRACKING!D:D,A11,TRACKING!G:G))</f>
        <v/>
      </c>
      <c r="H11" s="20" t="n">
        <f aca="false">IFERROR(IF(A11="",IF(B11="","",D11/C11*100-100),G11/F11*100-100),"")</f>
        <v>31.6666666666668</v>
      </c>
    </row>
    <row r="12" customFormat="false" ht="14.25" hidden="false" customHeight="false" outlineLevel="0" collapsed="false">
      <c r="A12" s="16"/>
      <c r="B12" s="16" t="s">
        <v>32</v>
      </c>
      <c r="C12" s="17"/>
      <c r="D12" s="18" t="n">
        <f aca="false">IF(B12="","",SUMIF(TRACKING!E:E,B12,TRACKING!G:G))</f>
        <v>0.0284722222222222</v>
      </c>
      <c r="E12" s="19" t="n">
        <f aca="false">IF(AND(A12="",B12=""),"",COUNTIF(D$1:D12,"")-1)</f>
        <v>2</v>
      </c>
      <c r="F12" s="18" t="str">
        <f aca="false">IF(A12="","",SUMIF(E:E,E12,C:C))</f>
        <v/>
      </c>
      <c r="G12" s="18" t="str">
        <f aca="false">IF(A12="","",SUMIF(TRACKING!D:D,A12,TRACKING!G:G))</f>
        <v/>
      </c>
      <c r="H12" s="20" t="str">
        <f aca="false">IFERROR(IF(A12="",IF(B12="","",D12/C12*100-100),G12/F12*100-100),"")</f>
        <v/>
      </c>
    </row>
    <row r="13" customFormat="false" ht="14.25" hidden="false" customHeight="false" outlineLevel="0" collapsed="false">
      <c r="A13" s="16" t="s">
        <v>33</v>
      </c>
      <c r="B13" s="16"/>
      <c r="C13" s="17"/>
      <c r="D13" s="18" t="str">
        <f aca="false">IF(B13="","",SUMIF(TRACKING!E:E,B13,TRACKING!G:G))</f>
        <v/>
      </c>
      <c r="E13" s="19" t="n">
        <f aca="false">IF(AND(A13="",B13=""),"",COUNTIF(D$1:D13,"")-1)</f>
        <v>3</v>
      </c>
      <c r="F13" s="18" t="n">
        <f aca="false">IF(A13="","",SUMIF(E:E,E13,C:C))</f>
        <v>0.333333333333333</v>
      </c>
      <c r="G13" s="18" t="n">
        <f aca="false">IF(A13="","",SUMIF(TRACKING!D:D,A13,TRACKING!G:G))</f>
        <v>0.333333333333333</v>
      </c>
      <c r="H13" s="20" t="n">
        <f aca="false">IFERROR(IF(A13="",IF(B13="","",D13/C13*100-100),G13/F13*100-100),"")</f>
        <v>0</v>
      </c>
    </row>
    <row r="14" customFormat="false" ht="14.25" hidden="false" customHeight="false" outlineLevel="0" collapsed="false">
      <c r="A14" s="16"/>
      <c r="B14" s="16" t="s">
        <v>34</v>
      </c>
      <c r="C14" s="17" t="n">
        <v>0.270833333333333</v>
      </c>
      <c r="D14" s="18" t="n">
        <f aca="false">IF(B14="","",SUMIF(TRACKING!E:E,B14,TRACKING!G:G))</f>
        <v>0.25625</v>
      </c>
      <c r="E14" s="19" t="n">
        <f aca="false">IF(AND(A14="",B14=""),"",COUNTIF(D$1:D14,"")-1)</f>
        <v>3</v>
      </c>
      <c r="F14" s="18" t="str">
        <f aca="false">IF(A14="","",SUMIF(E:E,E14,C:C))</f>
        <v/>
      </c>
      <c r="G14" s="18" t="str">
        <f aca="false">IF(A14="","",SUMIF(TRACKING!D:D,A14,TRACKING!G:G))</f>
        <v/>
      </c>
      <c r="H14" s="20" t="n">
        <f aca="false">IFERROR(IF(A14="",IF(B14="","",D14/C14*100-100),G14/F14*100-100),"")</f>
        <v>-5.38461538461523</v>
      </c>
    </row>
    <row r="15" customFormat="false" ht="14.25" hidden="false" customHeight="false" outlineLevel="0" collapsed="false">
      <c r="A15" s="16"/>
      <c r="B15" s="16" t="s">
        <v>35</v>
      </c>
      <c r="C15" s="17" t="n">
        <v>0.0625</v>
      </c>
      <c r="D15" s="18" t="n">
        <f aca="false">IF(B15="","",SUMIF(TRACKING!E:E,B15,TRACKING!G:G))</f>
        <v>0.0625</v>
      </c>
      <c r="E15" s="19" t="n">
        <f aca="false">IF(AND(A15="",B15=""),"",COUNTIF(D$1:D15,"")-1)</f>
        <v>3</v>
      </c>
      <c r="F15" s="18" t="str">
        <f aca="false">IF(A15="","",SUMIF(E:E,E15,C:C))</f>
        <v/>
      </c>
      <c r="G15" s="18" t="str">
        <f aca="false">IF(A15="","",SUMIF(TRACKING!D:D,A15,TRACKING!G:G))</f>
        <v/>
      </c>
      <c r="H15" s="20" t="n">
        <f aca="false">IFERROR(IF(A15="",IF(B15="","",D15/C15*100-100),G15/F15*100-100),"")</f>
        <v>0</v>
      </c>
    </row>
    <row r="16" customFormat="false" ht="14.25" hidden="false" customHeight="false" outlineLevel="0" collapsed="false">
      <c r="A16" s="16" t="s">
        <v>36</v>
      </c>
      <c r="B16" s="16"/>
      <c r="C16" s="17"/>
      <c r="D16" s="18" t="str">
        <f aca="false">IF(B16="","",SUMIF(TRACKING!E:E,B16,TRACKING!G:G))</f>
        <v/>
      </c>
      <c r="E16" s="19" t="n">
        <f aca="false">IF(AND(A16="",B16=""),"",COUNTIF(D$1:D16,"")-1)</f>
        <v>4</v>
      </c>
      <c r="F16" s="18" t="n">
        <f aca="false">IF(A16="","",SUMIF(E:E,E16,C:C))</f>
        <v>0</v>
      </c>
      <c r="G16" s="18" t="n">
        <f aca="false">IF(A16="","",SUMIF(TRACKING!D:D,A16,TRACKING!G:G))</f>
        <v>0</v>
      </c>
      <c r="H16" s="20" t="str">
        <f aca="false">IFERROR(IF(A16="",IF(B16="","",D16/C16*100-100),G16/F16*100-100),"")</f>
        <v/>
      </c>
    </row>
    <row r="17" customFormat="false" ht="14.25" hidden="false" customHeight="false" outlineLevel="0" collapsed="false">
      <c r="A17" s="16"/>
      <c r="B17" s="16" t="s">
        <v>37</v>
      </c>
      <c r="C17" s="17"/>
      <c r="D17" s="18" t="n">
        <f aca="false">IF(B17="","",SUMIF(TRACKING!E:E,B17,TRACKING!G:G))</f>
        <v>0</v>
      </c>
      <c r="E17" s="19" t="n">
        <f aca="false">IF(AND(A17="",B17=""),"",COUNTIF(D$1:D17,"")-1)</f>
        <v>4</v>
      </c>
      <c r="F17" s="18" t="str">
        <f aca="false">IF(A17="","",SUMIF(E:E,E17,C:C))</f>
        <v/>
      </c>
      <c r="G17" s="18" t="str">
        <f aca="false">IF(A17="","",SUMIF(TRACKING!D:D,A17,TRACKING!G:G))</f>
        <v/>
      </c>
      <c r="H17" s="20" t="str">
        <f aca="false">IFERROR(IF(A17="",IF(B17="","",D17/C17*100-100),G17/F17*100-100),"")</f>
        <v/>
      </c>
    </row>
    <row r="18" customFormat="false" ht="14.25" hidden="false" customHeight="false" outlineLevel="0" collapsed="false">
      <c r="A18" s="16"/>
      <c r="B18" s="16" t="s">
        <v>38</v>
      </c>
      <c r="C18" s="17"/>
      <c r="D18" s="18" t="n">
        <f aca="false">IF(B18="","",SUMIF(TRACKING!E:E,B18,TRACKING!G:G))</f>
        <v>0</v>
      </c>
      <c r="E18" s="19" t="n">
        <f aca="false">IF(AND(A18="",B18=""),"",COUNTIF(D$1:D18,"")-1)</f>
        <v>4</v>
      </c>
      <c r="F18" s="18" t="str">
        <f aca="false">IF(A18="","",SUMIF(E:E,E18,C:C))</f>
        <v/>
      </c>
      <c r="G18" s="18" t="str">
        <f aca="false">IF(A18="","",SUMIF(TRACKING!D:D,A18,TRACKING!G:G))</f>
        <v/>
      </c>
      <c r="H18" s="20" t="str">
        <f aca="false">IFERROR(IF(A18="",IF(B18="","",D18/C18*100-100),G18/F18*100-100),"")</f>
        <v/>
      </c>
    </row>
    <row r="19" customFormat="false" ht="14.25" hidden="false" customHeight="false" outlineLevel="0" collapsed="false">
      <c r="A19" s="16" t="s">
        <v>39</v>
      </c>
      <c r="B19" s="16"/>
      <c r="C19" s="17"/>
      <c r="D19" s="18" t="str">
        <f aca="false">IF(B19="","",SUMIF(TRACKING!E:E,B19,TRACKING!G:G))</f>
        <v/>
      </c>
      <c r="E19" s="19" t="n">
        <f aca="false">IF(AND(A19="",B19=""),"",COUNTIF(D$1:D19,"")-1)</f>
        <v>5</v>
      </c>
      <c r="F19" s="18" t="n">
        <f aca="false">IF(A19="","",SUMIF(E:E,E19,C:C))</f>
        <v>0</v>
      </c>
      <c r="G19" s="18" t="n">
        <f aca="false">IF(A19="","",SUMIF(TRACKING!D:D,A19,TRACKING!G:G))</f>
        <v>0</v>
      </c>
      <c r="H19" s="20" t="str">
        <f aca="false">IFERROR(IF(A19="",IF(B19="","",D19/C19*100-100),G19/F19*100-100),"")</f>
        <v/>
      </c>
    </row>
    <row r="20" customFormat="false" ht="14.25" hidden="false" customHeight="false" outlineLevel="0" collapsed="false">
      <c r="A20" s="16"/>
      <c r="B20" s="16" t="s">
        <v>40</v>
      </c>
      <c r="C20" s="17"/>
      <c r="D20" s="18" t="n">
        <f aca="false">IF(B20="","",SUMIF(TRACKING!E:E,B20,TRACKING!G:G))</f>
        <v>0</v>
      </c>
      <c r="E20" s="19" t="n">
        <f aca="false">IF(AND(A20="",B20=""),"",COUNTIF(D$1:D20,"")-1)</f>
        <v>5</v>
      </c>
      <c r="F20" s="18" t="str">
        <f aca="false">IF(A20="","",SUMIF(E:E,E20,C:C))</f>
        <v/>
      </c>
      <c r="G20" s="18" t="str">
        <f aca="false">IF(A20="","",SUMIF(TRACKING!D:D,A20,TRACKING!G:G))</f>
        <v/>
      </c>
      <c r="H20" s="20" t="str">
        <f aca="false">IFERROR(IF(A20="",IF(B20="","",D20/C20*100-100),G20/F20*100-100),"")</f>
        <v/>
      </c>
    </row>
    <row r="21" customFormat="false" ht="14.25" hidden="false" customHeight="false" outlineLevel="0" collapsed="false">
      <c r="A21" s="16"/>
      <c r="B21" s="16" t="s">
        <v>41</v>
      </c>
      <c r="C21" s="17"/>
      <c r="D21" s="18" t="n">
        <f aca="false">IF(B21="","",SUMIF(TRACKING!E:E,B21,TRACKING!G:G))</f>
        <v>0</v>
      </c>
      <c r="E21" s="19" t="n">
        <f aca="false">IF(AND(A21="",B21=""),"",COUNTIF(D$1:D21,"")-1)</f>
        <v>5</v>
      </c>
      <c r="F21" s="18" t="str">
        <f aca="false">IF(A21="","",SUMIF(E:E,E21,C:C))</f>
        <v/>
      </c>
      <c r="G21" s="18" t="str">
        <f aca="false">IF(A21="","",SUMIF(TRACKING!D:D,A21,TRACKING!G:G))</f>
        <v/>
      </c>
      <c r="H21" s="20" t="str">
        <f aca="false">IFERROR(IF(A21="",IF(B21="","",D21/C21*100-100),G21/F21*100-100),"")</f>
        <v/>
      </c>
    </row>
    <row r="22" customFormat="false" ht="14.25" hidden="false" customHeight="false" outlineLevel="0" collapsed="false">
      <c r="A22" s="16" t="s">
        <v>42</v>
      </c>
      <c r="B22" s="16"/>
      <c r="C22" s="17"/>
      <c r="D22" s="18" t="str">
        <f aca="false">IF(B22="","",SUMIF(TRACKING!E:E,B22,TRACKING!G:G))</f>
        <v/>
      </c>
      <c r="E22" s="19" t="n">
        <f aca="false">IF(AND(A22="",B22=""),"",COUNTIF(D$1:D22,"")-1)</f>
        <v>6</v>
      </c>
      <c r="F22" s="18" t="n">
        <f aca="false">IF(A22="","",SUMIF(E:E,E22,C:C))</f>
        <v>0</v>
      </c>
      <c r="G22" s="18" t="n">
        <f aca="false">IF(A22="","",SUMIF(TRACKING!D:D,A22,TRACKING!G:G))</f>
        <v>0</v>
      </c>
      <c r="H22" s="20" t="str">
        <f aca="false">IFERROR(IF(A22="",IF(B22="","",D22/C22*100-100),G22/F22*100-100),"")</f>
        <v/>
      </c>
    </row>
    <row r="23" customFormat="false" ht="14.25" hidden="false" customHeight="false" outlineLevel="0" collapsed="false">
      <c r="A23" s="16"/>
      <c r="B23" s="16" t="s">
        <v>43</v>
      </c>
      <c r="C23" s="17"/>
      <c r="D23" s="18" t="n">
        <f aca="false">IF(B23="","",SUMIF(TRACKING!E:E,B23,TRACKING!G:G))</f>
        <v>0</v>
      </c>
      <c r="E23" s="19" t="n">
        <f aca="false">IF(AND(A23="",B23=""),"",COUNTIF(D$1:D23,"")-1)</f>
        <v>6</v>
      </c>
      <c r="F23" s="18" t="str">
        <f aca="false">IF(A23="","",SUMIF(E:E,E23,C:C))</f>
        <v/>
      </c>
      <c r="G23" s="18" t="str">
        <f aca="false">IF(A23="","",SUMIF(TRACKING!D:D,A23,TRACKING!G:G))</f>
        <v/>
      </c>
      <c r="H23" s="20" t="str">
        <f aca="false">IFERROR(IF(A23="",IF(B23="","",D23/C23*100-100),G23/F23*100-100),"")</f>
        <v/>
      </c>
    </row>
    <row r="24" customFormat="false" ht="14.25" hidden="false" customHeight="false" outlineLevel="0" collapsed="false">
      <c r="A24" s="16" t="s">
        <v>44</v>
      </c>
      <c r="B24" s="16"/>
      <c r="C24" s="17"/>
      <c r="D24" s="18" t="str">
        <f aca="false">IF(B24="","",SUMIF(TRACKING!E:E,B24,TRACKING!G:G))</f>
        <v/>
      </c>
      <c r="E24" s="19" t="n">
        <f aca="false">IF(AND(A24="",B24=""),"",COUNTIF(D$1:D24,"")-1)</f>
        <v>7</v>
      </c>
      <c r="F24" s="18" t="n">
        <f aca="false">IF(A24="","",SUMIF(E:E,E24,C:C))</f>
        <v>0</v>
      </c>
      <c r="G24" s="18" t="n">
        <f aca="false">IF(A24="","",SUMIF(TRACKING!D:D,A24,TRACKING!G:G))</f>
        <v>0</v>
      </c>
      <c r="H24" s="20" t="str">
        <f aca="false">IFERROR(IF(A24="",IF(B24="","",D24/C24*100-100),G24/F24*100-100),"")</f>
        <v/>
      </c>
    </row>
    <row r="25" customFormat="false" ht="14.25" hidden="false" customHeight="false" outlineLevel="0" collapsed="false">
      <c r="A25" s="16"/>
      <c r="B25" s="16" t="s">
        <v>45</v>
      </c>
      <c r="C25" s="17"/>
      <c r="D25" s="18" t="n">
        <f aca="false">IF(B25="","",SUMIF(TRACKING!E:E,B25,TRACKING!G:G))</f>
        <v>0</v>
      </c>
      <c r="E25" s="19" t="n">
        <f aca="false">IF(AND(A25="",B25=""),"",COUNTIF(D$1:D25,"")-1)</f>
        <v>7</v>
      </c>
      <c r="F25" s="18" t="str">
        <f aca="false">IF(A25="","",SUMIF(E:E,E25,C:C))</f>
        <v/>
      </c>
      <c r="G25" s="18" t="str">
        <f aca="false">IF(A25="","",SUMIF(TRACKING!D:D,A25,TRACKING!G:G))</f>
        <v/>
      </c>
      <c r="H25" s="20" t="str">
        <f aca="false">IFERROR(IF(A25="",IF(B25="","",D25/C25*100-100),G25/F25*100-100),"")</f>
        <v/>
      </c>
    </row>
    <row r="26" customFormat="false" ht="14.25" hidden="false" customHeight="false" outlineLevel="0" collapsed="false">
      <c r="A26" s="16"/>
      <c r="B26" s="16" t="s">
        <v>46</v>
      </c>
      <c r="C26" s="17"/>
      <c r="D26" s="18" t="n">
        <f aca="false">IF(B26="","",SUMIF(TRACKING!E:E,B26,TRACKING!G:G))</f>
        <v>0</v>
      </c>
      <c r="E26" s="19" t="n">
        <f aca="false">IF(AND(A26="",B26=""),"",COUNTIF(D$1:D26,"")-1)</f>
        <v>7</v>
      </c>
      <c r="F26" s="18" t="str">
        <f aca="false">IF(A26="","",SUMIF(E:E,E26,C:C))</f>
        <v/>
      </c>
      <c r="G26" s="18" t="str">
        <f aca="false">IF(A26="","",SUMIF(TRACKING!D:D,A26,TRACKING!G:G))</f>
        <v/>
      </c>
      <c r="H26" s="20" t="str">
        <f aca="false">IFERROR(IF(A26="",IF(B26="","",D26/C26*100-100),G26/F26*100-100),"")</f>
        <v/>
      </c>
    </row>
    <row r="27" customFormat="false" ht="14.25" hidden="false" customHeight="false" outlineLevel="0" collapsed="false">
      <c r="A27" s="16" t="s">
        <v>47</v>
      </c>
      <c r="B27" s="16"/>
      <c r="C27" s="17"/>
      <c r="D27" s="18" t="str">
        <f aca="false">IF(B27="","",SUMIF(TRACKING!E:E,B27,TRACKING!G:G))</f>
        <v/>
      </c>
      <c r="E27" s="19" t="n">
        <f aca="false">IF(AND(A27="",B27=""),"",COUNTIF(D$1:D27,"")-1)</f>
        <v>8</v>
      </c>
      <c r="F27" s="18" t="n">
        <f aca="false">IF(A27="","",SUMIF(E:E,E27,C:C))</f>
        <v>0</v>
      </c>
      <c r="G27" s="18" t="n">
        <f aca="false">IF(A27="","",SUMIF(TRACKING!D:D,A27,TRACKING!G:G))</f>
        <v>0</v>
      </c>
      <c r="H27" s="20" t="str">
        <f aca="false">IFERROR(IF(A27="",IF(B27="","",D27/C27*100-100),G27/F27*100-100),"")</f>
        <v/>
      </c>
    </row>
    <row r="28" customFormat="false" ht="14.25" hidden="false" customHeight="false" outlineLevel="0" collapsed="false">
      <c r="A28" s="16"/>
      <c r="B28" s="16" t="s">
        <v>48</v>
      </c>
      <c r="C28" s="17"/>
      <c r="D28" s="18" t="n">
        <f aca="false">IF(B28="","",SUMIF(TRACKING!E:E,B28,TRACKING!G:G))</f>
        <v>0</v>
      </c>
      <c r="E28" s="19" t="n">
        <f aca="false">IF(AND(A28="",B28=""),"",COUNTIF(D$1:D28,"")-1)</f>
        <v>8</v>
      </c>
      <c r="F28" s="18" t="str">
        <f aca="false">IF(A28="","",SUMIF(E:E,E28,C:C))</f>
        <v/>
      </c>
      <c r="G28" s="18" t="str">
        <f aca="false">IF(A28="","",SUMIF(TRACKING!D:D,A28,TRACKING!G:G))</f>
        <v/>
      </c>
      <c r="H28" s="20" t="str">
        <f aca="false">IFERROR(IF(A28="",IF(B28="","",D28/C28*100-100),G28/F28*100-100),"")</f>
        <v/>
      </c>
    </row>
    <row r="29" customFormat="false" ht="14.25" hidden="false" customHeight="false" outlineLevel="0" collapsed="false">
      <c r="A29" s="16"/>
      <c r="B29" s="16" t="s">
        <v>49</v>
      </c>
      <c r="C29" s="17"/>
      <c r="D29" s="18" t="n">
        <f aca="false">IF(B29="","",SUMIF(TRACKING!E:E,B29,TRACKING!G:G))</f>
        <v>0</v>
      </c>
      <c r="E29" s="19" t="n">
        <f aca="false">IF(AND(A29="",B29=""),"",COUNTIF(D$1:D29,"")-1)</f>
        <v>8</v>
      </c>
      <c r="F29" s="18" t="str">
        <f aca="false">IF(A29="","",SUMIF(E:E,E29,C:C))</f>
        <v/>
      </c>
      <c r="G29" s="18" t="str">
        <f aca="false">IF(A29="","",SUMIF(TRACKING!D:D,A29,TRACKING!G:G))</f>
        <v/>
      </c>
      <c r="H29" s="20" t="str">
        <f aca="false">IFERROR(IF(A29="",IF(B29="","",D29/C29*100-100),G29/F29*100-100),"")</f>
        <v/>
      </c>
    </row>
    <row r="30" customFormat="false" ht="14.25" hidden="false" customHeight="false" outlineLevel="0" collapsed="false">
      <c r="A30" s="16"/>
      <c r="B30" s="16" t="s">
        <v>50</v>
      </c>
      <c r="C30" s="17"/>
      <c r="D30" s="18" t="n">
        <f aca="false">IF(B30="","",SUMIF(TRACKING!E:E,B30,TRACKING!G:G))</f>
        <v>0</v>
      </c>
      <c r="E30" s="19" t="n">
        <f aca="false">IF(AND(A30="",B30=""),"",COUNTIF(D$1:D30,"")-1)</f>
        <v>8</v>
      </c>
      <c r="F30" s="18" t="str">
        <f aca="false">IF(A30="","",SUMIF(E:E,E30,C:C))</f>
        <v/>
      </c>
      <c r="G30" s="18" t="str">
        <f aca="false">IF(A30="","",SUMIF(TRACKING!D:D,A30,TRACKING!G:G))</f>
        <v/>
      </c>
      <c r="H30" s="20" t="str">
        <f aca="false">IFERROR(IF(A30="",IF(B30="","",D30/C30*100-100),G30/F30*100-100),"")</f>
        <v/>
      </c>
    </row>
    <row r="31" customFormat="false" ht="14.25" hidden="false" customHeight="false" outlineLevel="0" collapsed="false">
      <c r="A31" s="16" t="s">
        <v>51</v>
      </c>
      <c r="B31" s="16"/>
      <c r="C31" s="17"/>
      <c r="D31" s="18" t="str">
        <f aca="false">IF(B31="","",SUMIF(TRACKING!E:E,B31,TRACKING!G:G))</f>
        <v/>
      </c>
      <c r="E31" s="19" t="n">
        <f aca="false">IF(AND(A31="",B31=""),"",COUNTIF(D$1:D31,"")-1)</f>
        <v>9</v>
      </c>
      <c r="F31" s="18" t="n">
        <f aca="false">IF(A31="","",SUMIF(E:E,E31,C:C))</f>
        <v>0</v>
      </c>
      <c r="G31" s="18" t="n">
        <f aca="false">IF(A31="","",SUMIF(TRACKING!D:D,A31,TRACKING!G:G))</f>
        <v>0</v>
      </c>
      <c r="H31" s="20" t="str">
        <f aca="false">IFERROR(IF(A31="",IF(B31="","",D31/C31*100-100),G31/F31*100-100),"")</f>
        <v/>
      </c>
    </row>
    <row r="32" customFormat="false" ht="14.25" hidden="false" customHeight="false" outlineLevel="0" collapsed="false">
      <c r="A32" s="16"/>
      <c r="B32" s="16" t="s">
        <v>52</v>
      </c>
      <c r="C32" s="17"/>
      <c r="D32" s="18" t="n">
        <f aca="false">IF(B32="","",SUMIF(TRACKING!E:E,B32,TRACKING!G:G))</f>
        <v>0</v>
      </c>
      <c r="E32" s="19" t="n">
        <f aca="false">IF(AND(A32="",B32=""),"",COUNTIF(D$1:D32,"")-1)</f>
        <v>9</v>
      </c>
      <c r="F32" s="18" t="str">
        <f aca="false">IF(A32="","",SUMIF(E:E,E32,C:C))</f>
        <v/>
      </c>
      <c r="G32" s="18" t="str">
        <f aca="false">IF(A32="","",SUMIF(TRACKING!D:D,A32,TRACKING!G:G))</f>
        <v/>
      </c>
      <c r="H32" s="20" t="str">
        <f aca="false">IFERROR(IF(A32="",IF(B32="","",D32/C32*100-100),G32/F32*100-100),"")</f>
        <v/>
      </c>
    </row>
    <row r="33" customFormat="false" ht="14.25" hidden="false" customHeight="false" outlineLevel="0" collapsed="false">
      <c r="A33" s="16" t="s">
        <v>53</v>
      </c>
      <c r="B33" s="16"/>
      <c r="C33" s="17"/>
      <c r="D33" s="18" t="str">
        <f aca="false">IF(B33="","",SUMIF(TRACKING!E:E,B33,TRACKING!G:G))</f>
        <v/>
      </c>
      <c r="E33" s="19" t="n">
        <f aca="false">IF(AND(A33="",B33=""),"",COUNTIF(D$1:D33,"")-1)</f>
        <v>10</v>
      </c>
      <c r="F33" s="18" t="n">
        <f aca="false">IF(A33="","",SUMIF(E:E,E33,C:C))</f>
        <v>0</v>
      </c>
      <c r="G33" s="18" t="n">
        <f aca="false">IF(A33="","",SUMIF(TRACKING!D:D,A33,TRACKING!G:G))</f>
        <v>0</v>
      </c>
      <c r="H33" s="20" t="str">
        <f aca="false">IFERROR(IF(A33="",IF(B33="","",D33/C33*100-100),G33/F33*100-100),"")</f>
        <v/>
      </c>
    </row>
    <row r="34" customFormat="false" ht="14.25" hidden="false" customHeight="false" outlineLevel="0" collapsed="false">
      <c r="A34" s="16"/>
      <c r="B34" s="16" t="s">
        <v>54</v>
      </c>
      <c r="C34" s="17"/>
      <c r="D34" s="18" t="n">
        <f aca="false">IF(B34="","",SUMIF(TRACKING!E:E,B34,TRACKING!G:G))</f>
        <v>0</v>
      </c>
      <c r="E34" s="19" t="n">
        <f aca="false">IF(AND(A34="",B34=""),"",COUNTIF(D$1:D34,"")-1)</f>
        <v>10</v>
      </c>
      <c r="F34" s="18" t="str">
        <f aca="false">IF(A34="","",SUMIF(E:E,E34,C:C))</f>
        <v/>
      </c>
      <c r="G34" s="18" t="str">
        <f aca="false">IF(A34="","",SUMIF(TRACKING!D:D,A34,TRACKING!G:G))</f>
        <v/>
      </c>
      <c r="H34" s="20" t="str">
        <f aca="false">IFERROR(IF(A34="",IF(B34="","",D34/C34*100-100),G34/F34*100-100),"")</f>
        <v/>
      </c>
    </row>
    <row r="35" customFormat="false" ht="14.25" hidden="false" customHeight="false" outlineLevel="0" collapsed="false">
      <c r="A35" s="16"/>
      <c r="B35" s="16" t="s">
        <v>55</v>
      </c>
      <c r="C35" s="17"/>
      <c r="D35" s="18" t="n">
        <f aca="false">IF(B35="","",SUMIF(TRACKING!E:E,B35,TRACKING!G:G))</f>
        <v>0</v>
      </c>
      <c r="E35" s="19" t="n">
        <f aca="false">IF(AND(A35="",B35=""),"",COUNTIF(D$1:D35,"")-1)</f>
        <v>10</v>
      </c>
      <c r="F35" s="18" t="str">
        <f aca="false">IF(A35="","",SUMIF(E:E,E35,C:C))</f>
        <v/>
      </c>
      <c r="G35" s="18" t="str">
        <f aca="false">IF(A35="","",SUMIF(TRACKING!D:D,A35,TRACKING!G:G))</f>
        <v/>
      </c>
      <c r="H35" s="20" t="str">
        <f aca="false">IFERROR(IF(A35="",IF(B35="","",D35/C35*100-100),G35/F35*100-100),"")</f>
        <v/>
      </c>
    </row>
    <row r="36" customFormat="false" ht="14.25" hidden="false" customHeight="false" outlineLevel="0" collapsed="false">
      <c r="A36" s="16" t="s">
        <v>56</v>
      </c>
      <c r="B36" s="16"/>
      <c r="C36" s="17"/>
      <c r="D36" s="18" t="str">
        <f aca="false">IF(B36="","",SUMIF(TRACKING!E:E,B36,TRACKING!G:G))</f>
        <v/>
      </c>
      <c r="E36" s="19" t="n">
        <f aca="false">IF(AND(A36="",B36=""),"",COUNTIF(D$1:D36,"")-1)</f>
        <v>11</v>
      </c>
      <c r="F36" s="18" t="n">
        <f aca="false">IF(A36="","",SUMIF(E:E,E36,C:C))</f>
        <v>0</v>
      </c>
      <c r="G36" s="18" t="n">
        <f aca="false">IF(A36="","",SUMIF(TRACKING!D:D,A36,TRACKING!G:G))</f>
        <v>0</v>
      </c>
      <c r="H36" s="20" t="str">
        <f aca="false">IFERROR(IF(A36="",IF(B36="","",D36/C36*100-100),G36/F36*100-100),"")</f>
        <v/>
      </c>
    </row>
    <row r="37" customFormat="false" ht="14.25" hidden="false" customHeight="false" outlineLevel="0" collapsed="false">
      <c r="A37" s="16"/>
      <c r="B37" s="16"/>
      <c r="C37" s="17"/>
      <c r="D37" s="18" t="str">
        <f aca="false">IF(B37="","",SUMIF(TRACKING!E:E,B37,TRACKING!G:G))</f>
        <v/>
      </c>
      <c r="E37" s="19" t="str">
        <f aca="false">IF(AND(A37="",B37=""),"",COUNTIF(D$1:D37,"")-1)</f>
        <v/>
      </c>
      <c r="F37" s="18" t="str">
        <f aca="false">IF(A37="","",SUMIF(E:E,E37,C:C))</f>
        <v/>
      </c>
      <c r="G37" s="18" t="str">
        <f aca="false">IF(A37="","",SUMIF(TRACKING!D:D,A37,TRACKING!G:G))</f>
        <v/>
      </c>
      <c r="H37" s="20" t="str">
        <f aca="false">IFERROR(IF(A37="",IF(B37="","",D37/C37*100-100),G37/F37*100-100),"")</f>
        <v/>
      </c>
    </row>
    <row r="38" customFormat="false" ht="14.25" hidden="false" customHeight="false" outlineLevel="0" collapsed="false">
      <c r="A38" s="16"/>
      <c r="B38" s="16"/>
      <c r="C38" s="17"/>
      <c r="D38" s="18" t="str">
        <f aca="false">IF(B38="","",SUMIF(TRACKING!E:E,B38,TRACKING!G:G))</f>
        <v/>
      </c>
      <c r="E38" s="19" t="str">
        <f aca="false">IF(AND(A38="",B38=""),"",COUNTIF(D$1:D38,"")-1)</f>
        <v/>
      </c>
      <c r="F38" s="18" t="str">
        <f aca="false">IF(A38="","",SUMIF(E:E,E38,C:C))</f>
        <v/>
      </c>
      <c r="G38" s="18" t="str">
        <f aca="false">IF(A38="","",SUMIF(TRACKING!D:D,A38,TRACKING!G:G))</f>
        <v/>
      </c>
      <c r="H38" s="20" t="str">
        <f aca="false">IFERROR(IF(A38="",IF(B38="","",D38/C38*100-100),G38/F38*100-100),"")</f>
        <v/>
      </c>
    </row>
    <row r="39" customFormat="false" ht="14.25" hidden="false" customHeight="false" outlineLevel="0" collapsed="false">
      <c r="A39" s="16"/>
      <c r="B39" s="16"/>
      <c r="C39" s="17"/>
      <c r="D39" s="18" t="str">
        <f aca="false">IF(B39="","",SUMIF(TRACKING!E:E,B39,TRACKING!G:G))</f>
        <v/>
      </c>
      <c r="E39" s="19" t="str">
        <f aca="false">IF(AND(A39="",B39=""),"",COUNTIF(D$1:D39,"")-1)</f>
        <v/>
      </c>
      <c r="F39" s="18" t="str">
        <f aca="false">IF(A39="","",SUMIF(E:E,E39,C:C))</f>
        <v/>
      </c>
      <c r="G39" s="18" t="str">
        <f aca="false">IF(A39="","",SUMIF(TRACKING!D:D,A39,TRACKING!G:G))</f>
        <v/>
      </c>
      <c r="H39" s="20" t="str">
        <f aca="false">IFERROR(IF(A39="",IF(B39="","",D39/C39*100-100),G39/F39*100-100),"")</f>
        <v/>
      </c>
    </row>
    <row r="40" customFormat="false" ht="14.25" hidden="false" customHeight="false" outlineLevel="0" collapsed="false">
      <c r="A40" s="16"/>
      <c r="B40" s="16"/>
      <c r="C40" s="17"/>
      <c r="D40" s="18" t="str">
        <f aca="false">IF(B40="","",SUMIF(TRACKING!E:E,B40,TRACKING!G:G))</f>
        <v/>
      </c>
      <c r="E40" s="19" t="str">
        <f aca="false">IF(AND(A40="",B40=""),"",COUNTIF(D$1:D40,"")-1)</f>
        <v/>
      </c>
      <c r="F40" s="18" t="str">
        <f aca="false">IF(A40="","",SUMIF(E:E,E40,C:C))</f>
        <v/>
      </c>
      <c r="G40" s="18" t="str">
        <f aca="false">IF(A40="","",SUMIF(TRACKING!D:D,A40,TRACKING!G:G))</f>
        <v/>
      </c>
      <c r="H40" s="20" t="str">
        <f aca="false">IFERROR(IF(A40="",IF(B40="","",D40/C40*100-100),G40/F40*100-100),"")</f>
        <v/>
      </c>
    </row>
    <row r="41" customFormat="false" ht="14.25" hidden="false" customHeight="false" outlineLevel="0" collapsed="false">
      <c r="A41" s="16"/>
      <c r="B41" s="16"/>
      <c r="C41" s="17"/>
      <c r="D41" s="18" t="str">
        <f aca="false">IF(B41="","",SUMIF(TRACKING!E:E,B41,TRACKING!G:G))</f>
        <v/>
      </c>
      <c r="E41" s="19" t="str">
        <f aca="false">IF(AND(A41="",B41=""),"",COUNTIF(D$1:D41,"")-1)</f>
        <v/>
      </c>
      <c r="F41" s="18" t="str">
        <f aca="false">IF(A41="","",SUMIF(E:E,E41,C:C))</f>
        <v/>
      </c>
      <c r="G41" s="18" t="str">
        <f aca="false">IF(A41="","",SUMIF(TRACKING!D:D,A41,TRACKING!G:G))</f>
        <v/>
      </c>
      <c r="H41" s="20" t="str">
        <f aca="false">IFERROR(IF(A41="",IF(B41="","",D41/C41*100-100),G41/F41*100-100),"")</f>
        <v/>
      </c>
    </row>
    <row r="42" customFormat="false" ht="14.25" hidden="false" customHeight="false" outlineLevel="0" collapsed="false">
      <c r="A42" s="16"/>
      <c r="B42" s="16"/>
      <c r="C42" s="17"/>
      <c r="D42" s="18" t="str">
        <f aca="false">IF(B42="","",SUMIF(TRACKING!E:E,B42,TRACKING!G:G))</f>
        <v/>
      </c>
      <c r="E42" s="19" t="str">
        <f aca="false">IF(AND(A42="",B42=""),"",COUNTIF(D$1:D42,"")-1)</f>
        <v/>
      </c>
      <c r="F42" s="18" t="str">
        <f aca="false">IF(A42="","",SUMIF(E:E,E42,C:C))</f>
        <v/>
      </c>
      <c r="G42" s="18" t="str">
        <f aca="false">IF(A42="","",SUMIF(TRACKING!D:D,A42,TRACKING!G:G))</f>
        <v/>
      </c>
      <c r="H42" s="20" t="str">
        <f aca="false">IFERROR(IF(A42="",IF(B42="","",D42/C42*100-100),G42/F42*100-100),"")</f>
        <v/>
      </c>
    </row>
    <row r="43" customFormat="false" ht="14.25" hidden="false" customHeight="false" outlineLevel="0" collapsed="false">
      <c r="A43" s="16"/>
      <c r="B43" s="16"/>
      <c r="C43" s="17"/>
      <c r="D43" s="18" t="str">
        <f aca="false">IF(B43="","",SUMIF(TRACKING!E:E,B43,TRACKING!G:G))</f>
        <v/>
      </c>
      <c r="E43" s="19" t="str">
        <f aca="false">IF(AND(A43="",B43=""),"",COUNTIF(D$1:D43,"")-1)</f>
        <v/>
      </c>
      <c r="F43" s="18" t="str">
        <f aca="false">IF(A43="","",SUMIF(E:E,E43,C:C))</f>
        <v/>
      </c>
      <c r="G43" s="18" t="str">
        <f aca="false">IF(A43="","",SUMIF(TRACKING!D:D,A43,TRACKING!G:G))</f>
        <v/>
      </c>
      <c r="H43" s="20" t="str">
        <f aca="false">IFERROR(IF(A43="",IF(B43="","",D43/C43*100-100),G43/F43*100-100),"")</f>
        <v/>
      </c>
    </row>
    <row r="44" customFormat="false" ht="14.25" hidden="false" customHeight="false" outlineLevel="0" collapsed="false">
      <c r="A44" s="16"/>
      <c r="B44" s="16"/>
      <c r="C44" s="17"/>
      <c r="D44" s="18" t="str">
        <f aca="false">IF(B44="","",SUMIF(TRACKING!E:E,B44,TRACKING!G:G))</f>
        <v/>
      </c>
      <c r="E44" s="19" t="str">
        <f aca="false">IF(AND(A44="",B44=""),"",COUNTIF(D$1:D44,"")-1)</f>
        <v/>
      </c>
      <c r="F44" s="18" t="str">
        <f aca="false">IF(A44="","",SUMIF(E:E,E44,C:C))</f>
        <v/>
      </c>
      <c r="G44" s="18" t="str">
        <f aca="false">IF(A44="","",SUMIF(TRACKING!D:D,A44,TRACKING!G:G))</f>
        <v/>
      </c>
      <c r="H44" s="20" t="str">
        <f aca="false">IFERROR(IF(A44="",IF(B44="","",D44/C44*100-100),G44/F44*100-100),"")</f>
        <v/>
      </c>
    </row>
    <row r="45" customFormat="false" ht="14.25" hidden="false" customHeight="false" outlineLevel="0" collapsed="false">
      <c r="A45" s="16"/>
      <c r="B45" s="16"/>
      <c r="C45" s="17"/>
      <c r="D45" s="18" t="str">
        <f aca="false">IF(B45="","",SUMIF(TRACKING!E:E,B45,TRACKING!G:G))</f>
        <v/>
      </c>
      <c r="E45" s="19" t="str">
        <f aca="false">IF(AND(A45="",B45=""),"",COUNTIF(D$1:D45,"")-1)</f>
        <v/>
      </c>
      <c r="F45" s="18" t="str">
        <f aca="false">IF(A45="","",SUMIF(E:E,E45,C:C))</f>
        <v/>
      </c>
      <c r="G45" s="18" t="str">
        <f aca="false">IF(A45="","",SUMIF(TRACKING!D:D,A45,TRACKING!G:G))</f>
        <v/>
      </c>
      <c r="H45" s="20" t="str">
        <f aca="false">IFERROR(IF(A45="",IF(B45="","",D45/C45*100-100),G45/F45*100-100),"")</f>
        <v/>
      </c>
    </row>
    <row r="46" customFormat="false" ht="14.25" hidden="false" customHeight="false" outlineLevel="0" collapsed="false">
      <c r="A46" s="16"/>
      <c r="B46" s="16"/>
      <c r="C46" s="17"/>
      <c r="D46" s="18" t="str">
        <f aca="false">IF(B46="","",SUMIF(TRACKING!E:E,B46,TRACKING!G:G))</f>
        <v/>
      </c>
      <c r="E46" s="19" t="str">
        <f aca="false">IF(AND(A46="",B46=""),"",COUNTIF(D$1:D46,"")-1)</f>
        <v/>
      </c>
      <c r="F46" s="18" t="str">
        <f aca="false">IF(A46="","",SUMIF(E:E,E46,C:C))</f>
        <v/>
      </c>
      <c r="G46" s="18" t="str">
        <f aca="false">IF(A46="","",SUMIF(TRACKING!D:D,A46,TRACKING!G:G))</f>
        <v/>
      </c>
      <c r="H46" s="20" t="str">
        <f aca="false">IFERROR(IF(A46="",IF(B46="","",D46/C46*100-100),G46/F46*100-100),"")</f>
        <v/>
      </c>
    </row>
    <row r="47" customFormat="false" ht="14.25" hidden="false" customHeight="false" outlineLevel="0" collapsed="false">
      <c r="A47" s="16"/>
      <c r="B47" s="16"/>
      <c r="C47" s="17"/>
      <c r="D47" s="18" t="str">
        <f aca="false">IF(B47="","",SUMIF(TRACKING!E:E,B47,TRACKING!G:G))</f>
        <v/>
      </c>
      <c r="E47" s="19" t="str">
        <f aca="false">IF(AND(A47="",B47=""),"",COUNTIF(D$1:D47,"")-1)</f>
        <v/>
      </c>
      <c r="F47" s="18" t="str">
        <f aca="false">IF(A47="","",SUMIF(E:E,E47,C:C))</f>
        <v/>
      </c>
      <c r="G47" s="18" t="str">
        <f aca="false">IF(A47="","",SUMIF(TRACKING!D:D,A47,TRACKING!G:G))</f>
        <v/>
      </c>
      <c r="H47" s="20" t="str">
        <f aca="false">IFERROR(IF(A47="",IF(B47="","",D47/C47*100-100),G47/F47*100-100),"")</f>
        <v/>
      </c>
    </row>
    <row r="48" customFormat="false" ht="14.25" hidden="false" customHeight="false" outlineLevel="0" collapsed="false">
      <c r="A48" s="16"/>
      <c r="B48" s="16"/>
      <c r="C48" s="17"/>
      <c r="D48" s="18" t="str">
        <f aca="false">IF(B48="","",SUMIF(TRACKING!E:E,B48,TRACKING!G:G))</f>
        <v/>
      </c>
      <c r="E48" s="19" t="str">
        <f aca="false">IF(AND(A48="",B48=""),"",COUNTIF(D$1:D48,"")-1)</f>
        <v/>
      </c>
      <c r="F48" s="18" t="str">
        <f aca="false">IF(A48="","",SUMIF(E:E,E48,C:C))</f>
        <v/>
      </c>
      <c r="G48" s="18" t="str">
        <f aca="false">IF(A48="","",SUMIF(TRACKING!D:D,A48,TRACKING!G:G))</f>
        <v/>
      </c>
      <c r="H48" s="20" t="str">
        <f aca="false">IFERROR(IF(A48="",IF(B48="","",D48/C48*100-100),G48/F48*100-100),"")</f>
        <v/>
      </c>
    </row>
    <row r="49" customFormat="false" ht="14.25" hidden="false" customHeight="false" outlineLevel="0" collapsed="false">
      <c r="A49" s="16"/>
      <c r="B49" s="16"/>
      <c r="C49" s="17"/>
      <c r="D49" s="18" t="str">
        <f aca="false">IF(B49="","",SUMIF(TRACKING!E:E,B49,TRACKING!G:G))</f>
        <v/>
      </c>
      <c r="E49" s="19" t="str">
        <f aca="false">IF(AND(A49="",B49=""),"",COUNTIF(D$1:D49,"")-1)</f>
        <v/>
      </c>
      <c r="F49" s="18" t="str">
        <f aca="false">IF(A49="","",SUMIF(E:E,E49,C:C))</f>
        <v/>
      </c>
      <c r="G49" s="18" t="str">
        <f aca="false">IF(A49="","",SUMIF(TRACKING!D:D,A49,TRACKING!G:G))</f>
        <v/>
      </c>
      <c r="H49" s="20" t="str">
        <f aca="false">IFERROR(IF(A49="",IF(B49="","",D49/C49*100-100),G49/F49*100-100),"")</f>
        <v/>
      </c>
    </row>
    <row r="50" customFormat="false" ht="14.25" hidden="false" customHeight="false" outlineLevel="0" collapsed="false">
      <c r="A50" s="16"/>
      <c r="B50" s="16"/>
      <c r="C50" s="17"/>
      <c r="D50" s="18" t="str">
        <f aca="false">IF(B50="","",SUMIF(TRACKING!E:E,B50,TRACKING!G:G))</f>
        <v/>
      </c>
      <c r="E50" s="19" t="str">
        <f aca="false">IF(AND(A50="",B50=""),"",COUNTIF(D$1:D50,"")-1)</f>
        <v/>
      </c>
      <c r="F50" s="18" t="str">
        <f aca="false">IF(A50="","",SUMIF(E:E,E50,C:C))</f>
        <v/>
      </c>
      <c r="G50" s="18" t="str">
        <f aca="false">IF(A50="","",SUMIF(TRACKING!D:D,A50,TRACKING!G:G))</f>
        <v/>
      </c>
      <c r="H50" s="20" t="str">
        <f aca="false">IFERROR(IF(A50="",IF(B50="","",D50/C50*100-100),G50/F50*100-100),"")</f>
        <v/>
      </c>
    </row>
    <row r="51" customFormat="false" ht="14.25" hidden="false" customHeight="false" outlineLevel="0" collapsed="false">
      <c r="A51" s="16"/>
      <c r="B51" s="16"/>
      <c r="C51" s="17"/>
      <c r="D51" s="18" t="str">
        <f aca="false">IF(B51="","",SUMIF(TRACKING!E:E,B51,TRACKING!G:G))</f>
        <v/>
      </c>
      <c r="E51" s="19" t="str">
        <f aca="false">IF(AND(A51="",B51=""),"",COUNTIF(D$1:D51,"")-1)</f>
        <v/>
      </c>
      <c r="F51" s="18" t="str">
        <f aca="false">IF(A51="","",SUMIF(E:E,E51,C:C))</f>
        <v/>
      </c>
      <c r="G51" s="18" t="str">
        <f aca="false">IF(A51="","",SUMIF(TRACKING!D:D,A51,TRACKING!G:G))</f>
        <v/>
      </c>
      <c r="H51" s="20" t="str">
        <f aca="false">IFERROR(IF(A51="",IF(B51="","",D51/C51*100-100),G51/F51*100-100),"")</f>
        <v/>
      </c>
    </row>
    <row r="52" customFormat="false" ht="14.25" hidden="false" customHeight="false" outlineLevel="0" collapsed="false">
      <c r="A52" s="16"/>
      <c r="B52" s="16"/>
      <c r="C52" s="17"/>
      <c r="D52" s="18" t="str">
        <f aca="false">IF(B52="","",SUMIF(TRACKING!E:E,B52,TRACKING!G:G))</f>
        <v/>
      </c>
      <c r="E52" s="19" t="str">
        <f aca="false">IF(AND(A52="",B52=""),"",COUNTIF(D$1:D52,"")-1)</f>
        <v/>
      </c>
      <c r="F52" s="18" t="str">
        <f aca="false">IF(A52="","",SUMIF(E:E,E52,C:C))</f>
        <v/>
      </c>
      <c r="G52" s="18" t="str">
        <f aca="false">IF(A52="","",SUMIF(TRACKING!D:D,A52,TRACKING!G:G))</f>
        <v/>
      </c>
      <c r="H52" s="20" t="str">
        <f aca="false">IFERROR(IF(A52="",IF(B52="","",D52/C52*100-100),G52/F52*100-100),"")</f>
        <v/>
      </c>
    </row>
    <row r="53" customFormat="false" ht="14.25" hidden="false" customHeight="false" outlineLevel="0" collapsed="false">
      <c r="A53" s="16"/>
      <c r="B53" s="16"/>
      <c r="C53" s="17"/>
      <c r="D53" s="18" t="str">
        <f aca="false">IF(B53="","",SUMIF(TRACKING!E:E,B53,TRACKING!G:G))</f>
        <v/>
      </c>
      <c r="E53" s="19" t="str">
        <f aca="false">IF(AND(A53="",B53=""),"",COUNTIF(D$1:D53,"")-1)</f>
        <v/>
      </c>
      <c r="F53" s="18" t="str">
        <f aca="false">IF(A53="","",SUMIF(E:E,E53,C:C))</f>
        <v/>
      </c>
      <c r="G53" s="18" t="str">
        <f aca="false">IF(A53="","",SUMIF(TRACKING!D:D,A53,TRACKING!G:G))</f>
        <v/>
      </c>
      <c r="H53" s="20" t="str">
        <f aca="false">IFERROR(IF(A53="",IF(B53="","",D53/C53*100-100),G53/F53*100-100),"")</f>
        <v/>
      </c>
    </row>
    <row r="54" customFormat="false" ht="14.25" hidden="false" customHeight="false" outlineLevel="0" collapsed="false">
      <c r="A54" s="16"/>
      <c r="B54" s="16"/>
      <c r="C54" s="17"/>
      <c r="D54" s="18" t="str">
        <f aca="false">IF(B54="","",SUMIF(TRACKING!E:E,B54,TRACKING!G:G))</f>
        <v/>
      </c>
      <c r="E54" s="19" t="str">
        <f aca="false">IF(AND(A54="",B54=""),"",COUNTIF(D$1:D54,"")-1)</f>
        <v/>
      </c>
      <c r="F54" s="18" t="str">
        <f aca="false">IF(A54="","",SUMIF(E:E,E54,C:C))</f>
        <v/>
      </c>
      <c r="G54" s="18" t="str">
        <f aca="false">IF(A54="","",SUMIF(TRACKING!D:D,A54,TRACKING!G:G))</f>
        <v/>
      </c>
      <c r="H54" s="20" t="str">
        <f aca="false">IFERROR(IF(A54="",IF(B54="","",D54/C54*100-100),G54/F54*100-100),"")</f>
        <v/>
      </c>
    </row>
    <row r="55" customFormat="false" ht="14.25" hidden="false" customHeight="false" outlineLevel="0" collapsed="false">
      <c r="A55" s="16"/>
      <c r="B55" s="16"/>
      <c r="C55" s="17"/>
      <c r="D55" s="18" t="str">
        <f aca="false">IF(B55="","",SUMIF(TRACKING!E:E,B55,TRACKING!G:G))</f>
        <v/>
      </c>
      <c r="E55" s="19" t="str">
        <f aca="false">IF(AND(A55="",B55=""),"",COUNTIF(D$1:D55,"")-1)</f>
        <v/>
      </c>
      <c r="F55" s="18" t="str">
        <f aca="false">IF(A55="","",SUMIF(E:E,E55,C:C))</f>
        <v/>
      </c>
      <c r="G55" s="18" t="str">
        <f aca="false">IF(A55="","",SUMIF(TRACKING!D:D,A55,TRACKING!G:G))</f>
        <v/>
      </c>
      <c r="H55" s="20" t="str">
        <f aca="false">IFERROR(IF(A55="",IF(B55="","",D55/C55*100-100),G55/F55*100-100),"")</f>
        <v/>
      </c>
    </row>
    <row r="56" customFormat="false" ht="14.25" hidden="false" customHeight="false" outlineLevel="0" collapsed="false">
      <c r="A56" s="16"/>
      <c r="B56" s="16"/>
      <c r="C56" s="17"/>
      <c r="D56" s="18" t="str">
        <f aca="false">IF(B56="","",SUMIF(TRACKING!E:E,B56,TRACKING!G:G))</f>
        <v/>
      </c>
      <c r="E56" s="19" t="str">
        <f aca="false">IF(AND(A56="",B56=""),"",COUNTIF(D$1:D56,"")-1)</f>
        <v/>
      </c>
      <c r="F56" s="18" t="str">
        <f aca="false">IF(A56="","",SUMIF(E:E,E56,C:C))</f>
        <v/>
      </c>
      <c r="G56" s="18" t="str">
        <f aca="false">IF(A56="","",SUMIF(TRACKING!D:D,A56,TRACKING!G:G))</f>
        <v/>
      </c>
      <c r="H56" s="20" t="str">
        <f aca="false">IFERROR(IF(A56="",IF(B56="","",D56/C56*100-100),G56/F56*100-100),"")</f>
        <v/>
      </c>
    </row>
    <row r="57" customFormat="false" ht="14.25" hidden="false" customHeight="false" outlineLevel="0" collapsed="false">
      <c r="A57" s="16"/>
      <c r="B57" s="16"/>
      <c r="C57" s="17"/>
      <c r="D57" s="18" t="str">
        <f aca="false">IF(B57="","",SUMIF(TRACKING!E:E,B57,TRACKING!G:G))</f>
        <v/>
      </c>
      <c r="E57" s="19" t="str">
        <f aca="false">IF(AND(A57="",B57=""),"",COUNTIF(D$1:D57,"")-1)</f>
        <v/>
      </c>
      <c r="F57" s="18" t="str">
        <f aca="false">IF(A57="","",SUMIF(E:E,E57,C:C))</f>
        <v/>
      </c>
      <c r="G57" s="18" t="str">
        <f aca="false">IF(A57="","",SUMIF(TRACKING!D:D,A57,TRACKING!G:G))</f>
        <v/>
      </c>
      <c r="H57" s="20" t="str">
        <f aca="false">IFERROR(IF(A57="",IF(B57="","",D57/C57*100-100),G57/F57*100-100),"")</f>
        <v/>
      </c>
    </row>
    <row r="58" customFormat="false" ht="14.25" hidden="false" customHeight="false" outlineLevel="0" collapsed="false">
      <c r="A58" s="16"/>
      <c r="B58" s="16"/>
      <c r="C58" s="17"/>
      <c r="D58" s="18" t="str">
        <f aca="false">IF(B58="","",SUMIF(TRACKING!E:E,B58,TRACKING!G:G))</f>
        <v/>
      </c>
      <c r="E58" s="19" t="str">
        <f aca="false">IF(AND(A58="",B58=""),"",COUNTIF(D$1:D58,"")-1)</f>
        <v/>
      </c>
      <c r="F58" s="18" t="str">
        <f aca="false">IF(A58="","",SUMIF(E:E,E58,C:C))</f>
        <v/>
      </c>
      <c r="G58" s="18" t="str">
        <f aca="false">IF(A58="","",SUMIF(TRACKING!D:D,A58,TRACKING!G:G))</f>
        <v/>
      </c>
      <c r="H58" s="20" t="str">
        <f aca="false">IFERROR(IF(A58="",IF(B58="","",D58/C58*100-100),G58/F58*100-100),"")</f>
        <v/>
      </c>
    </row>
    <row r="59" customFormat="false" ht="14.25" hidden="false" customHeight="false" outlineLevel="0" collapsed="false">
      <c r="A59" s="16"/>
      <c r="B59" s="16"/>
      <c r="C59" s="17"/>
      <c r="D59" s="18" t="str">
        <f aca="false">IF(B59="","",SUMIF(TRACKING!E:E,B59,TRACKING!G:G))</f>
        <v/>
      </c>
      <c r="E59" s="19" t="str">
        <f aca="false">IF(AND(A59="",B59=""),"",COUNTIF(D$1:D59,"")-1)</f>
        <v/>
      </c>
      <c r="F59" s="18" t="str">
        <f aca="false">IF(A59="","",SUMIF(E:E,E59,C:C))</f>
        <v/>
      </c>
      <c r="G59" s="18" t="str">
        <f aca="false">IF(A59="","",SUMIF(TRACKING!D:D,A59,TRACKING!G:G))</f>
        <v/>
      </c>
      <c r="H59" s="20" t="str">
        <f aca="false">IFERROR(IF(A59="",IF(B59="","",D59/C59*100-100),G59/F59*100-100),"")</f>
        <v/>
      </c>
    </row>
    <row r="60" customFormat="false" ht="14.25" hidden="false" customHeight="false" outlineLevel="0" collapsed="false">
      <c r="A60" s="16"/>
      <c r="B60" s="16"/>
      <c r="C60" s="17"/>
      <c r="D60" s="18" t="str">
        <f aca="false">IF(B60="","",SUMIF(TRACKING!E:E,B60,TRACKING!G:G))</f>
        <v/>
      </c>
      <c r="E60" s="19" t="str">
        <f aca="false">IF(AND(A60="",B60=""),"",COUNTIF(D$1:D60,"")-1)</f>
        <v/>
      </c>
      <c r="F60" s="18" t="str">
        <f aca="false">IF(A60="","",SUMIF(E:E,E60,C:C))</f>
        <v/>
      </c>
      <c r="G60" s="18" t="str">
        <f aca="false">IF(A60="","",SUMIF(TRACKING!D:D,A60,TRACKING!G:G))</f>
        <v/>
      </c>
      <c r="H60" s="20" t="str">
        <f aca="false">IFERROR(IF(A60="",IF(B60="","",D60/C60*100-100),G60/F60*100-100),"")</f>
        <v/>
      </c>
    </row>
    <row r="61" customFormat="false" ht="14.25" hidden="false" customHeight="false" outlineLevel="0" collapsed="false">
      <c r="A61" s="16"/>
      <c r="B61" s="16"/>
      <c r="C61" s="17"/>
      <c r="D61" s="18" t="str">
        <f aca="false">IF(B61="","",SUMIF(TRACKING!E:E,B61,TRACKING!G:G))</f>
        <v/>
      </c>
      <c r="E61" s="19" t="str">
        <f aca="false">IF(AND(A61="",B61=""),"",COUNTIF(D$1:D61,"")-1)</f>
        <v/>
      </c>
      <c r="F61" s="18" t="str">
        <f aca="false">IF(A61="","",SUMIF(E:E,E61,C:C))</f>
        <v/>
      </c>
      <c r="G61" s="18" t="str">
        <f aca="false">IF(A61="","",SUMIF(TRACKING!D:D,A61,TRACKING!G:G))</f>
        <v/>
      </c>
      <c r="H61" s="20" t="str">
        <f aca="false">IFERROR(IF(A61="",IF(B61="","",D61/C61*100-100),G61/F61*100-100),"")</f>
        <v/>
      </c>
    </row>
    <row r="62" customFormat="false" ht="14.25" hidden="false" customHeight="false" outlineLevel="0" collapsed="false">
      <c r="A62" s="16"/>
      <c r="B62" s="16"/>
      <c r="C62" s="17"/>
      <c r="D62" s="18" t="str">
        <f aca="false">IF(B62="","",SUMIF(TRACKING!E:E,B62,TRACKING!G:G))</f>
        <v/>
      </c>
      <c r="E62" s="19" t="str">
        <f aca="false">IF(AND(A62="",B62=""),"",COUNTIF(D$1:D62,"")-1)</f>
        <v/>
      </c>
      <c r="F62" s="18" t="str">
        <f aca="false">IF(A62="","",SUMIF(E:E,E62,C:C))</f>
        <v/>
      </c>
      <c r="G62" s="18" t="str">
        <f aca="false">IF(A62="","",SUMIF(TRACKING!D:D,A62,TRACKING!G:G))</f>
        <v/>
      </c>
      <c r="H62" s="20" t="str">
        <f aca="false">IFERROR(IF(A62="",IF(B62="","",D62/C62*100-100),G62/F62*100-100),"")</f>
        <v/>
      </c>
    </row>
    <row r="63" customFormat="false" ht="14.25" hidden="false" customHeight="false" outlineLevel="0" collapsed="false">
      <c r="A63" s="16"/>
      <c r="B63" s="16"/>
      <c r="C63" s="17"/>
      <c r="D63" s="18" t="str">
        <f aca="false">IF(B63="","",SUMIF(TRACKING!E:E,B63,TRACKING!G:G))</f>
        <v/>
      </c>
      <c r="E63" s="19" t="str">
        <f aca="false">IF(AND(A63="",B63=""),"",COUNTIF(D$1:D63,"")-1)</f>
        <v/>
      </c>
      <c r="F63" s="18" t="str">
        <f aca="false">IF(A63="","",SUMIF(E:E,E63,C:C))</f>
        <v/>
      </c>
      <c r="G63" s="18" t="str">
        <f aca="false">IF(A63="","",SUMIF(TRACKING!D:D,A63,TRACKING!G:G))</f>
        <v/>
      </c>
      <c r="H63" s="20" t="str">
        <f aca="false">IFERROR(IF(A63="",IF(B63="","",D63/C63*100-100),G63/F63*100-100),"")</f>
        <v/>
      </c>
    </row>
    <row r="64" customFormat="false" ht="14.25" hidden="false" customHeight="false" outlineLevel="0" collapsed="false">
      <c r="A64" s="16"/>
      <c r="B64" s="16"/>
      <c r="C64" s="17"/>
      <c r="D64" s="18" t="str">
        <f aca="false">IF(B64="","",SUMIF(TRACKING!E:E,B64,TRACKING!G:G))</f>
        <v/>
      </c>
      <c r="E64" s="19" t="str">
        <f aca="false">IF(AND(A64="",B64=""),"",COUNTIF(D$1:D64,"")-1)</f>
        <v/>
      </c>
      <c r="F64" s="18" t="str">
        <f aca="false">IF(A64="","",SUMIF(E:E,E64,C:C))</f>
        <v/>
      </c>
      <c r="G64" s="18" t="str">
        <f aca="false">IF(A64="","",SUMIF(TRACKING!D:D,A64,TRACKING!G:G))</f>
        <v/>
      </c>
      <c r="H64" s="20" t="str">
        <f aca="false">IFERROR(IF(A64="",IF(B64="","",D64/C64*100-100),G64/F64*100-100),"")</f>
        <v/>
      </c>
    </row>
    <row r="65" customFormat="false" ht="14.25" hidden="false" customHeight="false" outlineLevel="0" collapsed="false">
      <c r="A65" s="16"/>
      <c r="B65" s="16"/>
      <c r="C65" s="17"/>
      <c r="D65" s="18" t="str">
        <f aca="false">IF(B65="","",SUMIF(TRACKING!E:E,B65,TRACKING!G:G))</f>
        <v/>
      </c>
      <c r="E65" s="19" t="str">
        <f aca="false">IF(AND(A65="",B65=""),"",COUNTIF(D$1:D65,"")-1)</f>
        <v/>
      </c>
      <c r="F65" s="18" t="str">
        <f aca="false">IF(A65="","",SUMIF(E:E,E65,C:C))</f>
        <v/>
      </c>
      <c r="G65" s="18" t="str">
        <f aca="false">IF(A65="","",SUMIF(TRACKING!D:D,A65,TRACKING!G:G))</f>
        <v/>
      </c>
      <c r="H65" s="20" t="str">
        <f aca="false">IFERROR(IF(A65="",IF(B65="","",D65/C65*100-100),G65/F65*100-100),"")</f>
        <v/>
      </c>
    </row>
    <row r="66" customFormat="false" ht="14.25" hidden="false" customHeight="false" outlineLevel="0" collapsed="false">
      <c r="A66" s="16"/>
      <c r="B66" s="16"/>
      <c r="C66" s="17"/>
      <c r="D66" s="18" t="str">
        <f aca="false">IF(B66="","",SUMIF(TRACKING!E:E,B66,TRACKING!G:G))</f>
        <v/>
      </c>
      <c r="E66" s="19" t="str">
        <f aca="false">IF(AND(A66="",B66=""),"",COUNTIF(D$1:D66,"")-1)</f>
        <v/>
      </c>
      <c r="F66" s="18" t="str">
        <f aca="false">IF(A66="","",SUMIF(E:E,E66,C:C))</f>
        <v/>
      </c>
      <c r="G66" s="18" t="str">
        <f aca="false">IF(A66="","",SUMIF(TRACKING!D:D,A66,TRACKING!G:G))</f>
        <v/>
      </c>
      <c r="H66" s="20" t="str">
        <f aca="false">IFERROR(IF(A66="",IF(B66="","",D66/C66*100-100),G66/F66*100-100),"")</f>
        <v/>
      </c>
    </row>
    <row r="67" customFormat="false" ht="14.25" hidden="false" customHeight="false" outlineLevel="0" collapsed="false">
      <c r="A67" s="16"/>
      <c r="B67" s="16"/>
      <c r="C67" s="17"/>
      <c r="D67" s="18" t="str">
        <f aca="false">IF(B67="","",SUMIF(TRACKING!E:E,B67,TRACKING!G:G))</f>
        <v/>
      </c>
      <c r="E67" s="19" t="str">
        <f aca="false">IF(AND(A67="",B67=""),"",COUNTIF(D$1:D67,"")-1)</f>
        <v/>
      </c>
      <c r="F67" s="18" t="str">
        <f aca="false">IF(A67="","",SUMIF(E:E,E67,C:C))</f>
        <v/>
      </c>
      <c r="G67" s="18" t="str">
        <f aca="false">IF(A67="","",SUMIF(TRACKING!D:D,A67,TRACKING!G:G))</f>
        <v/>
      </c>
      <c r="H67" s="20" t="str">
        <f aca="false">IFERROR(IF(A67="",IF(B67="","",D67/C67*100-100),G67/F67*100-100),"")</f>
        <v/>
      </c>
    </row>
    <row r="68" customFormat="false" ht="14.25" hidden="false" customHeight="false" outlineLevel="0" collapsed="false">
      <c r="A68" s="16"/>
      <c r="B68" s="16"/>
      <c r="C68" s="17"/>
      <c r="D68" s="18" t="str">
        <f aca="false">IF(B68="","",SUMIF(TRACKING!E:E,B68,TRACKING!G:G))</f>
        <v/>
      </c>
      <c r="E68" s="19" t="str">
        <f aca="false">IF(AND(A68="",B68=""),"",COUNTIF(D$1:D68,"")-1)</f>
        <v/>
      </c>
      <c r="F68" s="18" t="str">
        <f aca="false">IF(A68="","",SUMIF(E:E,E68,C:C))</f>
        <v/>
      </c>
      <c r="G68" s="18" t="str">
        <f aca="false">IF(A68="","",SUMIF(TRACKING!D:D,A68,TRACKING!G:G))</f>
        <v/>
      </c>
      <c r="H68" s="20" t="str">
        <f aca="false">IFERROR(IF(A68="",IF(B68="","",D68/C68*100-100),G68/F68*100-100),"")</f>
        <v/>
      </c>
    </row>
    <row r="69" customFormat="false" ht="14.25" hidden="false" customHeight="false" outlineLevel="0" collapsed="false">
      <c r="A69" s="16"/>
      <c r="B69" s="16"/>
      <c r="C69" s="17"/>
      <c r="D69" s="18" t="str">
        <f aca="false">IF(B69="","",SUMIF(TRACKING!E:E,B69,TRACKING!G:G))</f>
        <v/>
      </c>
      <c r="E69" s="19" t="str">
        <f aca="false">IF(AND(A69="",B69=""),"",COUNTIF(D$1:D69,"")-1)</f>
        <v/>
      </c>
      <c r="F69" s="18" t="str">
        <f aca="false">IF(A69="","",SUMIF(E:E,E69,C:C))</f>
        <v/>
      </c>
      <c r="G69" s="18" t="str">
        <f aca="false">IF(A69="","",SUMIF(TRACKING!D:D,A69,TRACKING!G:G))</f>
        <v/>
      </c>
      <c r="H69" s="20" t="str">
        <f aca="false">IFERROR(IF(A69="",IF(B69="","",D69/C69*100-100),G69/F69*100-100),"")</f>
        <v/>
      </c>
    </row>
    <row r="70" customFormat="false" ht="14.25" hidden="false" customHeight="false" outlineLevel="0" collapsed="false">
      <c r="A70" s="16"/>
      <c r="B70" s="16"/>
      <c r="C70" s="17"/>
      <c r="D70" s="18" t="str">
        <f aca="false">IF(B70="","",SUMIF(TRACKING!E:E,B70,TRACKING!G:G))</f>
        <v/>
      </c>
      <c r="E70" s="19" t="str">
        <f aca="false">IF(AND(A70="",B70=""),"",COUNTIF(D$1:D70,"")-1)</f>
        <v/>
      </c>
      <c r="F70" s="18" t="str">
        <f aca="false">IF(A70="","",SUMIF(E:E,E70,C:C))</f>
        <v/>
      </c>
      <c r="G70" s="18" t="str">
        <f aca="false">IF(A70="","",SUMIF(TRACKING!D:D,A70,TRACKING!G:G))</f>
        <v/>
      </c>
      <c r="H70" s="20" t="str">
        <f aca="false">IFERROR(IF(A70="",IF(B70="","",D70/C70*100-100),G70/F70*100-100),"")</f>
        <v/>
      </c>
    </row>
    <row r="71" customFormat="false" ht="14.25" hidden="false" customHeight="false" outlineLevel="0" collapsed="false">
      <c r="A71" s="16"/>
      <c r="B71" s="16"/>
      <c r="C71" s="17"/>
      <c r="D71" s="18" t="str">
        <f aca="false">IF(B71="","",SUMIF(TRACKING!E:E,B71,TRACKING!G:G))</f>
        <v/>
      </c>
      <c r="E71" s="19" t="str">
        <f aca="false">IF(AND(A71="",B71=""),"",COUNTIF(D$1:D71,"")-1)</f>
        <v/>
      </c>
      <c r="F71" s="18" t="str">
        <f aca="false">IF(A71="","",SUMIF(E:E,E71,C:C))</f>
        <v/>
      </c>
      <c r="G71" s="18" t="str">
        <f aca="false">IF(A71="","",SUMIF(TRACKING!D:D,A71,TRACKING!G:G))</f>
        <v/>
      </c>
      <c r="H71" s="20" t="str">
        <f aca="false">IFERROR(IF(A71="",IF(B71="","",D71/C71*100-100),G71/F71*100-100),"")</f>
        <v/>
      </c>
    </row>
    <row r="72" customFormat="false" ht="14.25" hidden="false" customHeight="false" outlineLevel="0" collapsed="false">
      <c r="A72" s="16"/>
      <c r="B72" s="16"/>
      <c r="C72" s="17"/>
      <c r="D72" s="18" t="str">
        <f aca="false">IF(B72="","",SUMIF(TRACKING!E:E,B72,TRACKING!G:G))</f>
        <v/>
      </c>
      <c r="E72" s="19" t="str">
        <f aca="false">IF(AND(A72="",B72=""),"",COUNTIF(D$1:D72,"")-1)</f>
        <v/>
      </c>
      <c r="F72" s="18" t="str">
        <f aca="false">IF(A72="","",SUMIF(E:E,E72,C:C))</f>
        <v/>
      </c>
      <c r="G72" s="18" t="str">
        <f aca="false">IF(A72="","",SUMIF(TRACKING!D:D,A72,TRACKING!G:G))</f>
        <v/>
      </c>
      <c r="H72" s="20" t="str">
        <f aca="false">IFERROR(IF(A72="",IF(B72="","",D72/C72*100-100),G72/F72*100-100),"")</f>
        <v/>
      </c>
    </row>
    <row r="73" customFormat="false" ht="14.25" hidden="false" customHeight="false" outlineLevel="0" collapsed="false">
      <c r="A73" s="16"/>
      <c r="B73" s="16"/>
      <c r="C73" s="17"/>
      <c r="D73" s="18" t="str">
        <f aca="false">IF(B73="","",SUMIF(TRACKING!E:E,B73,TRACKING!G:G))</f>
        <v/>
      </c>
      <c r="E73" s="19" t="str">
        <f aca="false">IF(AND(A73="",B73=""),"",COUNTIF(D$1:D73,"")-1)</f>
        <v/>
      </c>
      <c r="F73" s="18" t="str">
        <f aca="false">IF(A73="","",SUMIF(E:E,E73,C:C))</f>
        <v/>
      </c>
      <c r="G73" s="18" t="str">
        <f aca="false">IF(A73="","",SUMIF(TRACKING!D:D,A73,TRACKING!G:G))</f>
        <v/>
      </c>
      <c r="H73" s="20" t="str">
        <f aca="false">IFERROR(IF(A73="",IF(B73="","",D73/C73*100-100),G73/F73*100-100),"")</f>
        <v/>
      </c>
    </row>
    <row r="74" customFormat="false" ht="14.25" hidden="false" customHeight="false" outlineLevel="0" collapsed="false">
      <c r="A74" s="16"/>
      <c r="B74" s="16"/>
      <c r="C74" s="17"/>
      <c r="D74" s="18" t="str">
        <f aca="false">IF(B74="","",SUMIF(TRACKING!E:E,B74,TRACKING!G:G))</f>
        <v/>
      </c>
      <c r="E74" s="19" t="str">
        <f aca="false">IF(AND(A74="",B74=""),"",COUNTIF(D$1:D74,"")-1)</f>
        <v/>
      </c>
      <c r="F74" s="18" t="str">
        <f aca="false">IF(A74="","",SUMIF(E:E,E74,C:C))</f>
        <v/>
      </c>
      <c r="G74" s="18" t="str">
        <f aca="false">IF(A74="","",SUMIF(TRACKING!D:D,A74,TRACKING!G:G))</f>
        <v/>
      </c>
      <c r="H74" s="20" t="str">
        <f aca="false">IFERROR(IF(A74="",IF(B74="","",D74/C74*100-100),G74/F74*100-100),"")</f>
        <v/>
      </c>
    </row>
    <row r="75" customFormat="false" ht="14.25" hidden="false" customHeight="false" outlineLevel="0" collapsed="false">
      <c r="A75" s="16"/>
      <c r="B75" s="16"/>
      <c r="C75" s="17"/>
      <c r="D75" s="18" t="str">
        <f aca="false">IF(B75="","",SUMIF(TRACKING!E:E,B75,TRACKING!G:G))</f>
        <v/>
      </c>
      <c r="E75" s="19" t="str">
        <f aca="false">IF(AND(A75="",B75=""),"",COUNTIF(D$1:D75,"")-1)</f>
        <v/>
      </c>
      <c r="F75" s="18" t="str">
        <f aca="false">IF(A75="","",SUMIF(E:E,E75,C:C))</f>
        <v/>
      </c>
      <c r="G75" s="18" t="str">
        <f aca="false">IF(A75="","",SUMIF(TRACKING!D:D,A75,TRACKING!G:G))</f>
        <v/>
      </c>
      <c r="H75" s="20" t="str">
        <f aca="false">IFERROR(IF(A75="",IF(B75="","",D75/C75*100-100),G75/F75*100-100),"")</f>
        <v/>
      </c>
    </row>
    <row r="76" customFormat="false" ht="14.25" hidden="false" customHeight="false" outlineLevel="0" collapsed="false">
      <c r="A76" s="16"/>
      <c r="B76" s="16"/>
      <c r="C76" s="17"/>
      <c r="D76" s="18" t="str">
        <f aca="false">IF(B76="","",SUMIF(TRACKING!E:E,B76,TRACKING!G:G))</f>
        <v/>
      </c>
      <c r="E76" s="19" t="str">
        <f aca="false">IF(AND(A76="",B76=""),"",COUNTIF(D$1:D76,"")-1)</f>
        <v/>
      </c>
      <c r="F76" s="18" t="str">
        <f aca="false">IF(A76="","",SUMIF(E:E,E76,C:C))</f>
        <v/>
      </c>
      <c r="G76" s="18" t="str">
        <f aca="false">IF(A76="","",SUMIF(TRACKING!D:D,A76,TRACKING!G:G))</f>
        <v/>
      </c>
      <c r="H76" s="20" t="str">
        <f aca="false">IFERROR(IF(A76="",IF(B76="","",D76/C76*100-100),G76/F76*100-100),"")</f>
        <v/>
      </c>
    </row>
    <row r="77" customFormat="false" ht="14.25" hidden="false" customHeight="false" outlineLevel="0" collapsed="false">
      <c r="A77" s="16"/>
      <c r="B77" s="16"/>
      <c r="C77" s="17"/>
      <c r="D77" s="18" t="str">
        <f aca="false">IF(B77="","",SUMIF(TRACKING!E:E,B77,TRACKING!G:G))</f>
        <v/>
      </c>
      <c r="E77" s="19" t="str">
        <f aca="false">IF(AND(A77="",B77=""),"",COUNTIF(D$1:D77,"")-1)</f>
        <v/>
      </c>
      <c r="F77" s="18" t="str">
        <f aca="false">IF(A77="","",SUMIF(E:E,E77,C:C))</f>
        <v/>
      </c>
      <c r="G77" s="18" t="str">
        <f aca="false">IF(A77="","",SUMIF(TRACKING!D:D,A77,TRACKING!G:G))</f>
        <v/>
      </c>
      <c r="H77" s="20" t="str">
        <f aca="false">IFERROR(IF(A77="",IF(B77="","",D77/C77*100-100),G77/F77*100-100),"")</f>
        <v/>
      </c>
    </row>
    <row r="78" customFormat="false" ht="14.25" hidden="false" customHeight="false" outlineLevel="0" collapsed="false">
      <c r="A78" s="16"/>
      <c r="B78" s="16"/>
      <c r="C78" s="17"/>
      <c r="D78" s="18" t="str">
        <f aca="false">IF(B78="","",SUMIF(TRACKING!E:E,B78,TRACKING!G:G))</f>
        <v/>
      </c>
      <c r="E78" s="19" t="str">
        <f aca="false">IF(AND(A78="",B78=""),"",COUNTIF(D$1:D78,"")-1)</f>
        <v/>
      </c>
      <c r="F78" s="18" t="str">
        <f aca="false">IF(A78="","",SUMIF(E:E,E78,C:C))</f>
        <v/>
      </c>
      <c r="G78" s="18" t="str">
        <f aca="false">IF(A78="","",SUMIF(TRACKING!D:D,A78,TRACKING!G:G))</f>
        <v/>
      </c>
      <c r="H78" s="20" t="str">
        <f aca="false">IFERROR(IF(A78="",IF(B78="","",D78/C78*100-100),G78/F78*100-100),"")</f>
        <v/>
      </c>
    </row>
    <row r="79" customFormat="false" ht="14.25" hidden="false" customHeight="false" outlineLevel="0" collapsed="false">
      <c r="A79" s="16"/>
      <c r="B79" s="16"/>
      <c r="C79" s="17"/>
      <c r="D79" s="18" t="str">
        <f aca="false">IF(B79="","",SUMIF(TRACKING!E:E,B79,TRACKING!G:G))</f>
        <v/>
      </c>
      <c r="E79" s="19" t="str">
        <f aca="false">IF(AND(A79="",B79=""),"",COUNTIF(D$1:D79,"")-1)</f>
        <v/>
      </c>
      <c r="F79" s="18" t="str">
        <f aca="false">IF(A79="","",SUMIF(E:E,E79,C:C))</f>
        <v/>
      </c>
      <c r="G79" s="18" t="str">
        <f aca="false">IF(A79="","",SUMIF(TRACKING!D:D,A79,TRACKING!G:G))</f>
        <v/>
      </c>
      <c r="H79" s="20" t="str">
        <f aca="false">IFERROR(IF(A79="",IF(B79="","",D79/C79*100-100),G79/F79*100-100),"")</f>
        <v/>
      </c>
    </row>
    <row r="80" customFormat="false" ht="14.25" hidden="false" customHeight="false" outlineLevel="0" collapsed="false">
      <c r="A80" s="16"/>
      <c r="B80" s="16"/>
      <c r="C80" s="17"/>
      <c r="D80" s="18" t="str">
        <f aca="false">IF(B80="","",SUMIF(TRACKING!E:E,B80,TRACKING!G:G))</f>
        <v/>
      </c>
      <c r="E80" s="19" t="str">
        <f aca="false">IF(AND(A80="",B80=""),"",COUNTIF(D$1:D80,"")-1)</f>
        <v/>
      </c>
      <c r="F80" s="18" t="str">
        <f aca="false">IF(A80="","",SUMIF(E:E,E80,C:C))</f>
        <v/>
      </c>
      <c r="G80" s="18" t="str">
        <f aca="false">IF(A80="","",SUMIF(TRACKING!D:D,A80,TRACKING!G:G))</f>
        <v/>
      </c>
      <c r="H80" s="20" t="str">
        <f aca="false">IFERROR(IF(A80="",IF(B80="","",D80/C80*100-100),G80/F80*100-100),"")</f>
        <v/>
      </c>
    </row>
    <row r="81" customFormat="false" ht="14.25" hidden="false" customHeight="false" outlineLevel="0" collapsed="false">
      <c r="A81" s="16"/>
      <c r="B81" s="16"/>
      <c r="C81" s="17"/>
      <c r="D81" s="18" t="str">
        <f aca="false">IF(B81="","",SUMIF(TRACKING!E:E,B81,TRACKING!G:G))</f>
        <v/>
      </c>
      <c r="E81" s="19" t="str">
        <f aca="false">IF(AND(A81="",B81=""),"",COUNTIF(D$1:D81,"")-1)</f>
        <v/>
      </c>
      <c r="F81" s="18" t="str">
        <f aca="false">IF(A81="","",SUMIF(E:E,E81,C:C))</f>
        <v/>
      </c>
      <c r="G81" s="18" t="str">
        <f aca="false">IF(A81="","",SUMIF(TRACKING!D:D,A81,TRACKING!G:G))</f>
        <v/>
      </c>
      <c r="H81" s="20" t="str">
        <f aca="false">IFERROR(IF(A81="",IF(B81="","",D81/C81*100-100),G81/F81*100-100),"")</f>
        <v/>
      </c>
    </row>
    <row r="82" customFormat="false" ht="14.25" hidden="false" customHeight="false" outlineLevel="0" collapsed="false">
      <c r="A82" s="16"/>
      <c r="B82" s="16"/>
      <c r="C82" s="17"/>
      <c r="D82" s="18" t="str">
        <f aca="false">IF(B82="","",SUMIF(TRACKING!E:E,B82,TRACKING!G:G))</f>
        <v/>
      </c>
      <c r="E82" s="19" t="str">
        <f aca="false">IF(AND(A82="",B82=""),"",COUNTIF(D$1:D82,"")-1)</f>
        <v/>
      </c>
      <c r="F82" s="18" t="str">
        <f aca="false">IF(A82="","",SUMIF(E:E,E82,C:C))</f>
        <v/>
      </c>
      <c r="G82" s="18" t="str">
        <f aca="false">IF(A82="","",SUMIF(TRACKING!D:D,A82,TRACKING!G:G))</f>
        <v/>
      </c>
      <c r="H82" s="20" t="str">
        <f aca="false">IFERROR(IF(A82="",IF(B82="","",D82/C82*100-100),G82/F82*100-100),"")</f>
        <v/>
      </c>
    </row>
    <row r="83" customFormat="false" ht="14.25" hidden="false" customHeight="false" outlineLevel="0" collapsed="false">
      <c r="A83" s="16"/>
      <c r="B83" s="16"/>
      <c r="C83" s="17"/>
      <c r="D83" s="18" t="str">
        <f aca="false">IF(B83="","",SUMIF(TRACKING!E:E,B83,TRACKING!G:G))</f>
        <v/>
      </c>
      <c r="E83" s="19" t="str">
        <f aca="false">IF(AND(A83="",B83=""),"",COUNTIF(D$1:D83,"")-1)</f>
        <v/>
      </c>
      <c r="F83" s="18" t="str">
        <f aca="false">IF(A83="","",SUMIF(E:E,E83,C:C))</f>
        <v/>
      </c>
      <c r="G83" s="18" t="str">
        <f aca="false">IF(A83="","",SUMIF(TRACKING!D:D,A83,TRACKING!G:G))</f>
        <v/>
      </c>
      <c r="H83" s="20" t="str">
        <f aca="false">IFERROR(IF(A83="",IF(B83="","",D83/C83*100-100),G83/F83*100-100),"")</f>
        <v/>
      </c>
    </row>
    <row r="84" customFormat="false" ht="14.25" hidden="false" customHeight="false" outlineLevel="0" collapsed="false">
      <c r="A84" s="16"/>
      <c r="B84" s="16"/>
      <c r="C84" s="17"/>
      <c r="D84" s="18" t="str">
        <f aca="false">IF(B84="","",SUMIF(TRACKING!E:E,B84,TRACKING!G:G))</f>
        <v/>
      </c>
      <c r="E84" s="19" t="str">
        <f aca="false">IF(AND(A84="",B84=""),"",COUNTIF(D$1:D84,"")-1)</f>
        <v/>
      </c>
      <c r="F84" s="18" t="str">
        <f aca="false">IF(A84="","",SUMIF(E:E,E84,C:C))</f>
        <v/>
      </c>
      <c r="G84" s="18" t="str">
        <f aca="false">IF(A84="","",SUMIF(TRACKING!D:D,A84,TRACKING!G:G))</f>
        <v/>
      </c>
      <c r="H84" s="20" t="str">
        <f aca="false">IFERROR(IF(A84="",IF(B84="","",D84/C84*100-100),G84/F84*100-100),"")</f>
        <v/>
      </c>
    </row>
    <row r="85" customFormat="false" ht="14.25" hidden="false" customHeight="false" outlineLevel="0" collapsed="false">
      <c r="A85" s="16"/>
      <c r="B85" s="16"/>
      <c r="C85" s="17"/>
      <c r="D85" s="18" t="str">
        <f aca="false">IF(B85="","",SUMIF(TRACKING!E:E,B85,TRACKING!G:G))</f>
        <v/>
      </c>
      <c r="E85" s="19" t="str">
        <f aca="false">IF(AND(A85="",B85=""),"",COUNTIF(D$1:D85,"")-1)</f>
        <v/>
      </c>
      <c r="F85" s="18" t="str">
        <f aca="false">IF(A85="","",SUMIF(E:E,E85,C:C))</f>
        <v/>
      </c>
      <c r="G85" s="18" t="str">
        <f aca="false">IF(A85="","",SUMIF(TRACKING!D:D,A85,TRACKING!G:G))</f>
        <v/>
      </c>
      <c r="H85" s="20" t="str">
        <f aca="false">IFERROR(IF(A85="",IF(B85="","",D85/C85*100-100),G85/F85*100-100),"")</f>
        <v/>
      </c>
    </row>
    <row r="86" customFormat="false" ht="14.25" hidden="false" customHeight="false" outlineLevel="0" collapsed="false">
      <c r="A86" s="16"/>
      <c r="B86" s="16"/>
      <c r="C86" s="17"/>
      <c r="D86" s="18" t="str">
        <f aca="false">IF(B86="","",SUMIF(TRACKING!E:E,B86,TRACKING!G:G))</f>
        <v/>
      </c>
      <c r="E86" s="19" t="str">
        <f aca="false">IF(AND(A86="",B86=""),"",COUNTIF(D$1:D86,"")-1)</f>
        <v/>
      </c>
      <c r="F86" s="18" t="str">
        <f aca="false">IF(A86="","",SUMIF(E:E,E86,C:C))</f>
        <v/>
      </c>
      <c r="G86" s="18" t="str">
        <f aca="false">IF(A86="","",SUMIF(TRACKING!D:D,A86,TRACKING!G:G))</f>
        <v/>
      </c>
      <c r="H86" s="20" t="str">
        <f aca="false">IFERROR(IF(A86="",IF(B86="","",D86/C86*100-100),G86/F86*100-100),"")</f>
        <v/>
      </c>
    </row>
    <row r="87" customFormat="false" ht="14.25" hidden="false" customHeight="false" outlineLevel="0" collapsed="false">
      <c r="A87" s="16"/>
      <c r="B87" s="16"/>
      <c r="C87" s="17"/>
      <c r="D87" s="18" t="str">
        <f aca="false">IF(B87="","",SUMIF(TRACKING!E:E,B87,TRACKING!G:G))</f>
        <v/>
      </c>
      <c r="E87" s="19" t="str">
        <f aca="false">IF(AND(A87="",B87=""),"",COUNTIF(D$1:D87,"")-1)</f>
        <v/>
      </c>
      <c r="F87" s="18" t="str">
        <f aca="false">IF(A87="","",SUMIF(E:E,E87,C:C))</f>
        <v/>
      </c>
      <c r="G87" s="18" t="str">
        <f aca="false">IF(A87="","",SUMIF(TRACKING!D:D,A87,TRACKING!G:G))</f>
        <v/>
      </c>
      <c r="H87" s="20" t="str">
        <f aca="false">IFERROR(IF(A87="",IF(B87="","",D87/C87*100-100),G87/F87*100-100),"")</f>
        <v/>
      </c>
    </row>
    <row r="88" customFormat="false" ht="14.25" hidden="false" customHeight="false" outlineLevel="0" collapsed="false">
      <c r="A88" s="16"/>
      <c r="B88" s="16"/>
      <c r="C88" s="17"/>
      <c r="D88" s="18" t="str">
        <f aca="false">IF(B88="","",SUMIF(TRACKING!E:E,B88,TRACKING!G:G))</f>
        <v/>
      </c>
      <c r="E88" s="19" t="str">
        <f aca="false">IF(AND(A88="",B88=""),"",COUNTIF(D$1:D88,"")-1)</f>
        <v/>
      </c>
      <c r="F88" s="18" t="str">
        <f aca="false">IF(A88="","",SUMIF(E:E,E88,C:C))</f>
        <v/>
      </c>
      <c r="G88" s="18" t="str">
        <f aca="false">IF(A88="","",SUMIF(TRACKING!D:D,A88,TRACKING!G:G))</f>
        <v/>
      </c>
      <c r="H88" s="20" t="str">
        <f aca="false">IFERROR(IF(A88="",IF(B88="","",D88/C88*100-100),G88/F88*100-100),"")</f>
        <v/>
      </c>
    </row>
    <row r="89" customFormat="false" ht="14.25" hidden="false" customHeight="false" outlineLevel="0" collapsed="false">
      <c r="A89" s="16"/>
      <c r="B89" s="16"/>
      <c r="C89" s="17"/>
      <c r="D89" s="18" t="str">
        <f aca="false">IF(B89="","",SUMIF(TRACKING!E:E,B89,TRACKING!G:G))</f>
        <v/>
      </c>
      <c r="E89" s="19" t="str">
        <f aca="false">IF(AND(A89="",B89=""),"",COUNTIF(D$1:D89,"")-1)</f>
        <v/>
      </c>
      <c r="F89" s="18" t="str">
        <f aca="false">IF(A89="","",SUMIF(E:E,E89,C:C))</f>
        <v/>
      </c>
      <c r="G89" s="18" t="str">
        <f aca="false">IF(A89="","",SUMIF(TRACKING!D:D,A89,TRACKING!G:G))</f>
        <v/>
      </c>
      <c r="H89" s="20" t="str">
        <f aca="false">IFERROR(IF(A89="",IF(B89="","",D89/C89*100-100),G89/F89*100-100),"")</f>
        <v/>
      </c>
    </row>
    <row r="90" customFormat="false" ht="14.25" hidden="false" customHeight="false" outlineLevel="0" collapsed="false">
      <c r="A90" s="16"/>
      <c r="B90" s="16"/>
      <c r="C90" s="17"/>
      <c r="D90" s="18" t="str">
        <f aca="false">IF(B90="","",SUMIF(TRACKING!E:E,B90,TRACKING!G:G))</f>
        <v/>
      </c>
      <c r="E90" s="19" t="str">
        <f aca="false">IF(AND(A90="",B90=""),"",COUNTIF(D$1:D90,"")-1)</f>
        <v/>
      </c>
      <c r="F90" s="18" t="str">
        <f aca="false">IF(A90="","",SUMIF(E:E,E90,C:C))</f>
        <v/>
      </c>
      <c r="G90" s="18" t="str">
        <f aca="false">IF(A90="","",SUMIF(TRACKING!D:D,A90,TRACKING!G:G))</f>
        <v/>
      </c>
      <c r="H90" s="20" t="str">
        <f aca="false">IFERROR(IF(A90="",IF(B90="","",D90/C90*100-100),G90/F90*100-100),"")</f>
        <v/>
      </c>
    </row>
    <row r="91" customFormat="false" ht="14.25" hidden="false" customHeight="false" outlineLevel="0" collapsed="false">
      <c r="A91" s="16"/>
      <c r="B91" s="16"/>
      <c r="C91" s="17"/>
      <c r="D91" s="18" t="str">
        <f aca="false">IF(B91="","",SUMIF(TRACKING!E:E,B91,TRACKING!G:G))</f>
        <v/>
      </c>
      <c r="E91" s="19" t="str">
        <f aca="false">IF(AND(A91="",B91=""),"",COUNTIF(D$1:D91,"")-1)</f>
        <v/>
      </c>
      <c r="F91" s="18" t="str">
        <f aca="false">IF(A91="","",SUMIF(E:E,E91,C:C))</f>
        <v/>
      </c>
      <c r="G91" s="18" t="str">
        <f aca="false">IF(A91="","",SUMIF(TRACKING!D:D,A91,TRACKING!G:G))</f>
        <v/>
      </c>
      <c r="H91" s="20" t="str">
        <f aca="false">IFERROR(IF(A91="",IF(B91="","",D91/C91*100-100),G91/F91*100-100),"")</f>
        <v/>
      </c>
    </row>
    <row r="92" customFormat="false" ht="14.25" hidden="false" customHeight="false" outlineLevel="0" collapsed="false">
      <c r="A92" s="16"/>
      <c r="B92" s="16"/>
      <c r="C92" s="17"/>
      <c r="D92" s="18" t="str">
        <f aca="false">IF(B92="","",SUMIF(TRACKING!E:E,B92,TRACKING!G:G))</f>
        <v/>
      </c>
      <c r="E92" s="19" t="str">
        <f aca="false">IF(AND(A92="",B92=""),"",COUNTIF(D$1:D92,"")-1)</f>
        <v/>
      </c>
      <c r="F92" s="18" t="str">
        <f aca="false">IF(A92="","",SUMIF(E:E,E92,C:C))</f>
        <v/>
      </c>
      <c r="G92" s="18" t="str">
        <f aca="false">IF(A92="","",SUMIF(TRACKING!D:D,A92,TRACKING!G:G))</f>
        <v/>
      </c>
      <c r="H92" s="20" t="str">
        <f aca="false">IFERROR(IF(A92="",IF(B92="","",D92/C92*100-100),G92/F92*100-100),"")</f>
        <v/>
      </c>
    </row>
    <row r="93" customFormat="false" ht="14.25" hidden="false" customHeight="false" outlineLevel="0" collapsed="false">
      <c r="A93" s="16"/>
      <c r="B93" s="16"/>
      <c r="C93" s="17"/>
      <c r="D93" s="18" t="str">
        <f aca="false">IF(B93="","",SUMIF(TRACKING!E:E,B93,TRACKING!G:G))</f>
        <v/>
      </c>
      <c r="E93" s="19" t="str">
        <f aca="false">IF(AND(A93="",B93=""),"",COUNTIF(D$1:D93,"")-1)</f>
        <v/>
      </c>
      <c r="F93" s="18" t="str">
        <f aca="false">IF(A93="","",SUMIF(E:E,E93,C:C))</f>
        <v/>
      </c>
      <c r="G93" s="18" t="str">
        <f aca="false">IF(A93="","",SUMIF(TRACKING!D:D,A93,TRACKING!G:G))</f>
        <v/>
      </c>
      <c r="H93" s="20" t="str">
        <f aca="false">IFERROR(IF(A93="",IF(B93="","",D93/C93*100-100),G93/F93*100-100),"")</f>
        <v/>
      </c>
    </row>
    <row r="94" customFormat="false" ht="14.25" hidden="false" customHeight="false" outlineLevel="0" collapsed="false">
      <c r="A94" s="16"/>
      <c r="B94" s="16"/>
      <c r="C94" s="17"/>
      <c r="D94" s="18" t="str">
        <f aca="false">IF(B94="","",SUMIF(TRACKING!E:E,B94,TRACKING!G:G))</f>
        <v/>
      </c>
      <c r="E94" s="19" t="str">
        <f aca="false">IF(AND(A94="",B94=""),"",COUNTIF(D$1:D94,"")-1)</f>
        <v/>
      </c>
      <c r="F94" s="18" t="str">
        <f aca="false">IF(A94="","",SUMIF(E:E,E94,C:C))</f>
        <v/>
      </c>
      <c r="G94" s="18" t="str">
        <f aca="false">IF(A94="","",SUMIF(TRACKING!D:D,A94,TRACKING!G:G))</f>
        <v/>
      </c>
      <c r="H94" s="20" t="str">
        <f aca="false">IFERROR(IF(A94="",IF(B94="","",D94/C94*100-100),G94/F94*100-100),"")</f>
        <v/>
      </c>
    </row>
    <row r="95" customFormat="false" ht="14.25" hidden="false" customHeight="false" outlineLevel="0" collapsed="false">
      <c r="A95" s="16"/>
      <c r="B95" s="16"/>
      <c r="C95" s="17"/>
      <c r="D95" s="18" t="str">
        <f aca="false">IF(B95="","",SUMIF(TRACKING!E:E,B95,TRACKING!G:G))</f>
        <v/>
      </c>
      <c r="E95" s="19" t="str">
        <f aca="false">IF(AND(A95="",B95=""),"",COUNTIF(D$1:D95,"")-1)</f>
        <v/>
      </c>
      <c r="F95" s="18" t="str">
        <f aca="false">IF(A95="","",SUMIF(E:E,E95,C:C))</f>
        <v/>
      </c>
      <c r="G95" s="18" t="str">
        <f aca="false">IF(A95="","",SUMIF(TRACKING!D:D,A95,TRACKING!G:G))</f>
        <v/>
      </c>
      <c r="H95" s="20" t="str">
        <f aca="false">IFERROR(IF(A95="",IF(B95="","",D95/C95*100-100),G95/F95*100-100),"")</f>
        <v/>
      </c>
    </row>
    <row r="96" customFormat="false" ht="14.25" hidden="false" customHeight="false" outlineLevel="0" collapsed="false">
      <c r="A96" s="16"/>
      <c r="B96" s="16"/>
      <c r="C96" s="17"/>
      <c r="D96" s="18" t="str">
        <f aca="false">IF(B96="","",SUMIF(TRACKING!E:E,B96,TRACKING!G:G))</f>
        <v/>
      </c>
      <c r="E96" s="19" t="str">
        <f aca="false">IF(AND(A96="",B96=""),"",COUNTIF(D$1:D96,"")-1)</f>
        <v/>
      </c>
      <c r="F96" s="18" t="str">
        <f aca="false">IF(A96="","",SUMIF(E:E,E96,C:C))</f>
        <v/>
      </c>
      <c r="G96" s="18" t="str">
        <f aca="false">IF(A96="","",SUMIF(TRACKING!D:D,A96,TRACKING!G:G))</f>
        <v/>
      </c>
      <c r="H96" s="20" t="str">
        <f aca="false">IFERROR(IF(A96="",IF(B96="","",D96/C96*100-100),G96/F96*100-100),"")</f>
        <v/>
      </c>
    </row>
    <row r="97" customFormat="false" ht="14.25" hidden="false" customHeight="false" outlineLevel="0" collapsed="false">
      <c r="A97" s="16"/>
      <c r="B97" s="16"/>
      <c r="C97" s="17"/>
      <c r="D97" s="18" t="str">
        <f aca="false">IF(B97="","",SUMIF(TRACKING!E:E,B97,TRACKING!G:G))</f>
        <v/>
      </c>
      <c r="E97" s="19" t="str">
        <f aca="false">IF(AND(A97="",B97=""),"",COUNTIF(D$1:D97,"")-1)</f>
        <v/>
      </c>
      <c r="F97" s="18" t="str">
        <f aca="false">IF(A97="","",SUMIF(E:E,E97,C:C))</f>
        <v/>
      </c>
      <c r="G97" s="18" t="str">
        <f aca="false">IF(A97="","",SUMIF(TRACKING!D:D,A97,TRACKING!G:G))</f>
        <v/>
      </c>
      <c r="H97" s="20" t="str">
        <f aca="false">IFERROR(IF(A97="",IF(B97="","",D97/C97*100-100),G97/F97*100-100),"")</f>
        <v/>
      </c>
    </row>
    <row r="98" customFormat="false" ht="14.25" hidden="false" customHeight="false" outlineLevel="0" collapsed="false">
      <c r="A98" s="16"/>
      <c r="B98" s="16"/>
      <c r="C98" s="17"/>
      <c r="D98" s="18" t="str">
        <f aca="false">IF(B98="","",SUMIF(TRACKING!E:E,B98,TRACKING!G:G))</f>
        <v/>
      </c>
      <c r="E98" s="19" t="str">
        <f aca="false">IF(AND(A98="",B98=""),"",COUNTIF(D$1:D98,"")-1)</f>
        <v/>
      </c>
      <c r="F98" s="18" t="str">
        <f aca="false">IF(A98="","",SUMIF(E:E,E98,C:C))</f>
        <v/>
      </c>
      <c r="G98" s="18" t="str">
        <f aca="false">IF(A98="","",SUMIF(TRACKING!D:D,A98,TRACKING!G:G))</f>
        <v/>
      </c>
      <c r="H98" s="20" t="str">
        <f aca="false">IFERROR(IF(A98="",IF(B98="","",D98/C98*100-100),G98/F98*100-100),"")</f>
        <v/>
      </c>
    </row>
    <row r="99" customFormat="false" ht="14.25" hidden="false" customHeight="false" outlineLevel="0" collapsed="false">
      <c r="A99" s="16"/>
      <c r="B99" s="16"/>
      <c r="C99" s="17"/>
      <c r="D99" s="18" t="str">
        <f aca="false">IF(B99="","",SUMIF(TRACKING!E:E,B99,TRACKING!G:G))</f>
        <v/>
      </c>
      <c r="E99" s="19" t="str">
        <f aca="false">IF(AND(A99="",B99=""),"",COUNTIF(D$1:D99,"")-1)</f>
        <v/>
      </c>
      <c r="F99" s="18" t="str">
        <f aca="false">IF(A99="","",SUMIF(E:E,E99,C:C))</f>
        <v/>
      </c>
      <c r="G99" s="18" t="str">
        <f aca="false">IF(A99="","",SUMIF(TRACKING!D:D,A99,TRACKING!G:G))</f>
        <v/>
      </c>
      <c r="H99" s="20" t="str">
        <f aca="false">IFERROR(IF(A99="",IF(B99="","",D99/C99*100-100),G99/F99*100-100),"")</f>
        <v/>
      </c>
    </row>
    <row r="100" customFormat="false" ht="14.25" hidden="false" customHeight="false" outlineLevel="0" collapsed="false">
      <c r="A100" s="16"/>
      <c r="B100" s="16"/>
      <c r="C100" s="17"/>
      <c r="D100" s="18" t="str">
        <f aca="false">IF(B100="","",SUMIF(TRACKING!E:E,B100,TRACKING!G:G))</f>
        <v/>
      </c>
      <c r="E100" s="19" t="str">
        <f aca="false">IF(AND(A100="",B100=""),"",COUNTIF(D$1:D100,"")-1)</f>
        <v/>
      </c>
      <c r="F100" s="18" t="str">
        <f aca="false">IF(A100="","",SUMIF(E:E,E100,C:C))</f>
        <v/>
      </c>
      <c r="G100" s="18" t="str">
        <f aca="false">IF(A100="","",SUMIF(TRACKING!D:D,A100,TRACKING!G:G))</f>
        <v/>
      </c>
      <c r="H100" s="20" t="str">
        <f aca="false">IFERROR(IF(A100="",IF(B100="","",D100/C100*100-100),G100/F100*100-100),"")</f>
        <v/>
      </c>
    </row>
    <row r="101" customFormat="false" ht="14.25" hidden="false" customHeight="false" outlineLevel="0" collapsed="false">
      <c r="A101" s="16"/>
      <c r="B101" s="16"/>
      <c r="C101" s="17"/>
      <c r="D101" s="18" t="str">
        <f aca="false">IF(B101="","",SUMIF(TRACKING!E:E,B101,TRACKING!G:G))</f>
        <v/>
      </c>
      <c r="E101" s="19" t="str">
        <f aca="false">IF(AND(A101="",B101=""),"",COUNTIF(D$1:D101,"")-1)</f>
        <v/>
      </c>
      <c r="F101" s="18" t="str">
        <f aca="false">IF(A101="","",SUMIF(E:E,E101,C:C))</f>
        <v/>
      </c>
      <c r="G101" s="18" t="str">
        <f aca="false">IF(A101="","",SUMIF(TRACKING!D:D,A101,TRACKING!G:G))</f>
        <v/>
      </c>
      <c r="H101" s="20" t="str">
        <f aca="false">IFERROR(IF(A101="",IF(B101="","",D101/C101*100-100),G101/F101*100-100),"")</f>
        <v/>
      </c>
    </row>
    <row r="102" customFormat="false" ht="14.25" hidden="false" customHeight="false" outlineLevel="0" collapsed="false">
      <c r="A102" s="16"/>
      <c r="B102" s="16"/>
      <c r="C102" s="17"/>
      <c r="D102" s="18" t="str">
        <f aca="false">IF(B102="","",SUMIF(TRACKING!E:E,B102,TRACKING!G:G))</f>
        <v/>
      </c>
      <c r="E102" s="19" t="str">
        <f aca="false">IF(AND(A102="",B102=""),"",COUNTIF(D$1:D102,"")-1)</f>
        <v/>
      </c>
      <c r="F102" s="18" t="str">
        <f aca="false">IF(A102="","",SUMIF(E:E,E102,C:C))</f>
        <v/>
      </c>
      <c r="G102" s="18" t="str">
        <f aca="false">IF(A102="","",SUMIF(TRACKING!D:D,A102,TRACKING!G:G))</f>
        <v/>
      </c>
      <c r="H102" s="20" t="str">
        <f aca="false">IFERROR(IF(A102="",IF(B102="","",D102/C102*100-100),G102/F102*100-100),"")</f>
        <v/>
      </c>
    </row>
    <row r="103" customFormat="false" ht="14.25" hidden="false" customHeight="false" outlineLevel="0" collapsed="false">
      <c r="A103" s="16"/>
      <c r="B103" s="16"/>
      <c r="C103" s="17"/>
      <c r="D103" s="18" t="str">
        <f aca="false">IF(B103="","",SUMIF(TRACKING!E:E,B103,TRACKING!G:G))</f>
        <v/>
      </c>
      <c r="E103" s="19" t="str">
        <f aca="false">IF(AND(A103="",B103=""),"",COUNTIF(D$1:D103,"")-1)</f>
        <v/>
      </c>
      <c r="F103" s="18" t="str">
        <f aca="false">IF(A103="","",SUMIF(E:E,E103,C:C))</f>
        <v/>
      </c>
      <c r="G103" s="18" t="str">
        <f aca="false">IF(A103="","",SUMIF(TRACKING!D:D,A103,TRACKING!G:G))</f>
        <v/>
      </c>
      <c r="H103" s="20" t="str">
        <f aca="false">IFERROR(IF(A103="",IF(B103="","",D103/C103*100-100),G103/F103*100-100),"")</f>
        <v/>
      </c>
    </row>
    <row r="104" customFormat="false" ht="14.25" hidden="false" customHeight="false" outlineLevel="0" collapsed="false">
      <c r="A104" s="16"/>
      <c r="B104" s="16"/>
      <c r="C104" s="17"/>
      <c r="D104" s="18" t="str">
        <f aca="false">IF(B104="","",SUMIF(TRACKING!E:E,B104,TRACKING!G:G))</f>
        <v/>
      </c>
      <c r="E104" s="19" t="str">
        <f aca="false">IF(AND(A104="",B104=""),"",COUNTIF(D$1:D104,"")-1)</f>
        <v/>
      </c>
      <c r="F104" s="18" t="str">
        <f aca="false">IF(A104="","",SUMIF(E:E,E104,C:C))</f>
        <v/>
      </c>
      <c r="G104" s="18" t="str">
        <f aca="false">IF(A104="","",SUMIF(TRACKING!D:D,A104,TRACKING!G:G))</f>
        <v/>
      </c>
      <c r="H104" s="20" t="str">
        <f aca="false">IFERROR(IF(A104="",IF(B104="","",D104/C104*100-100),G104/F104*100-100),"")</f>
        <v/>
      </c>
    </row>
    <row r="105" customFormat="false" ht="14.25" hidden="false" customHeight="false" outlineLevel="0" collapsed="false">
      <c r="A105" s="16"/>
      <c r="B105" s="16"/>
      <c r="C105" s="17"/>
      <c r="D105" s="18" t="str">
        <f aca="false">IF(B105="","",SUMIF(TRACKING!E:E,B105,TRACKING!G:G))</f>
        <v/>
      </c>
      <c r="E105" s="19" t="str">
        <f aca="false">IF(AND(A105="",B105=""),"",COUNTIF(D$1:D105,"")-1)</f>
        <v/>
      </c>
      <c r="F105" s="18" t="str">
        <f aca="false">IF(A105="","",SUMIF(E:E,E105,C:C))</f>
        <v/>
      </c>
      <c r="G105" s="18" t="str">
        <f aca="false">IF(A105="","",SUMIF(TRACKING!D:D,A105,TRACKING!G:G))</f>
        <v/>
      </c>
      <c r="H105" s="20" t="str">
        <f aca="false">IFERROR(IF(A105="",IF(B105="","",D105/C105*100-100),G105/F105*100-100),"")</f>
        <v/>
      </c>
    </row>
    <row r="106" customFormat="false" ht="14.25" hidden="false" customHeight="false" outlineLevel="0" collapsed="false">
      <c r="A106" s="16"/>
      <c r="B106" s="16"/>
      <c r="C106" s="17"/>
      <c r="D106" s="18" t="str">
        <f aca="false">IF(B106="","",SUMIF(TRACKING!E:E,B106,TRACKING!G:G))</f>
        <v/>
      </c>
      <c r="E106" s="19" t="str">
        <f aca="false">IF(AND(A106="",B106=""),"",COUNTIF(D$1:D106,"")-1)</f>
        <v/>
      </c>
      <c r="F106" s="18" t="str">
        <f aca="false">IF(A106="","",SUMIF(E:E,E106,C:C))</f>
        <v/>
      </c>
      <c r="G106" s="18" t="str">
        <f aca="false">IF(A106="","",SUMIF(TRACKING!D:D,A106,TRACKING!G:G))</f>
        <v/>
      </c>
      <c r="H106" s="20" t="str">
        <f aca="false">IFERROR(IF(A106="",IF(B106="","",D106/C106*100-100),G106/F106*100-100),"")</f>
        <v/>
      </c>
    </row>
    <row r="107" customFormat="false" ht="14.25" hidden="false" customHeight="false" outlineLevel="0" collapsed="false">
      <c r="A107" s="16"/>
      <c r="B107" s="16"/>
      <c r="C107" s="17"/>
      <c r="D107" s="18" t="str">
        <f aca="false">IF(B107="","",SUMIF(TRACKING!E:E,B107,TRACKING!G:G))</f>
        <v/>
      </c>
      <c r="E107" s="19" t="str">
        <f aca="false">IF(AND(A107="",B107=""),"",COUNTIF(D$1:D107,"")-1)</f>
        <v/>
      </c>
      <c r="F107" s="18" t="str">
        <f aca="false">IF(A107="","",SUMIF(E:E,E107,C:C))</f>
        <v/>
      </c>
      <c r="G107" s="18" t="str">
        <f aca="false">IF(A107="","",SUMIF(TRACKING!D:D,A107,TRACKING!G:G))</f>
        <v/>
      </c>
      <c r="H107" s="20" t="str">
        <f aca="false">IFERROR(IF(A107="",IF(B107="","",D107/C107*100-100),G107/F107*100-100),"")</f>
        <v/>
      </c>
    </row>
    <row r="108" customFormat="false" ht="14.25" hidden="false" customHeight="false" outlineLevel="0" collapsed="false">
      <c r="A108" s="16"/>
      <c r="B108" s="16"/>
      <c r="C108" s="17"/>
      <c r="D108" s="18" t="str">
        <f aca="false">IF(B108="","",SUMIF(TRACKING!E:E,B108,TRACKING!G:G))</f>
        <v/>
      </c>
      <c r="E108" s="19" t="str">
        <f aca="false">IF(AND(A108="",B108=""),"",COUNTIF(D$1:D108,"")-1)</f>
        <v/>
      </c>
      <c r="F108" s="18" t="str">
        <f aca="false">IF(A108="","",SUMIF(E:E,E108,C:C))</f>
        <v/>
      </c>
      <c r="G108" s="18" t="str">
        <f aca="false">IF(A108="","",SUMIF(TRACKING!D:D,A108,TRACKING!G:G))</f>
        <v/>
      </c>
      <c r="H108" s="20" t="str">
        <f aca="false">IFERROR(IF(A108="",IF(B108="","",D108/C108*100-100),G108/F108*100-100),"")</f>
        <v/>
      </c>
    </row>
    <row r="109" customFormat="false" ht="14.25" hidden="false" customHeight="false" outlineLevel="0" collapsed="false">
      <c r="A109" s="16"/>
      <c r="B109" s="16"/>
      <c r="C109" s="17"/>
      <c r="D109" s="18" t="str">
        <f aca="false">IF(B109="","",SUMIF(TRACKING!E:E,B109,TRACKING!G:G))</f>
        <v/>
      </c>
      <c r="E109" s="19" t="str">
        <f aca="false">IF(AND(A109="",B109=""),"",COUNTIF(D$1:D109,"")-1)</f>
        <v/>
      </c>
      <c r="F109" s="18" t="str">
        <f aca="false">IF(A109="","",SUMIF(E:E,E109,C:C))</f>
        <v/>
      </c>
      <c r="G109" s="18" t="str">
        <f aca="false">IF(A109="","",SUMIF(TRACKING!D:D,A109,TRACKING!G:G))</f>
        <v/>
      </c>
      <c r="H109" s="20" t="str">
        <f aca="false">IFERROR(IF(A109="",IF(B109="","",D109/C109*100-100),G109/F109*100-100),"")</f>
        <v/>
      </c>
    </row>
    <row r="110" customFormat="false" ht="14.25" hidden="false" customHeight="false" outlineLevel="0" collapsed="false">
      <c r="A110" s="16"/>
      <c r="B110" s="16"/>
      <c r="C110" s="17"/>
      <c r="D110" s="18" t="str">
        <f aca="false">IF(B110="","",SUMIF(TRACKING!E:E,B110,TRACKING!G:G))</f>
        <v/>
      </c>
      <c r="E110" s="19" t="str">
        <f aca="false">IF(AND(A110="",B110=""),"",COUNTIF(D$1:D110,"")-1)</f>
        <v/>
      </c>
      <c r="F110" s="18" t="str">
        <f aca="false">IF(A110="","",SUMIF(E:E,E110,C:C))</f>
        <v/>
      </c>
      <c r="G110" s="18" t="str">
        <f aca="false">IF(A110="","",SUMIF(TRACKING!D:D,A110,TRACKING!G:G))</f>
        <v/>
      </c>
      <c r="H110" s="20" t="str">
        <f aca="false">IFERROR(IF(A110="",IF(B110="","",D110/C110*100-100),G110/F110*100-100),"")</f>
        <v/>
      </c>
    </row>
    <row r="111" customFormat="false" ht="14.25" hidden="false" customHeight="false" outlineLevel="0" collapsed="false">
      <c r="A111" s="16"/>
      <c r="B111" s="16"/>
      <c r="C111" s="17"/>
      <c r="D111" s="18" t="str">
        <f aca="false">IF(B111="","",SUMIF(TRACKING!E:E,B111,TRACKING!G:G))</f>
        <v/>
      </c>
      <c r="E111" s="19" t="str">
        <f aca="false">IF(AND(A111="",B111=""),"",COUNTIF(D$1:D111,"")-1)</f>
        <v/>
      </c>
      <c r="F111" s="18" t="str">
        <f aca="false">IF(A111="","",SUMIF(E:E,E111,C:C))</f>
        <v/>
      </c>
      <c r="G111" s="18" t="str">
        <f aca="false">IF(A111="","",SUMIF(TRACKING!D:D,A111,TRACKING!G:G))</f>
        <v/>
      </c>
      <c r="H111" s="20" t="str">
        <f aca="false">IFERROR(IF(A111="",IF(B111="","",D111/C111*100-100),G111/F111*100-100),"")</f>
        <v/>
      </c>
    </row>
    <row r="112" customFormat="false" ht="14.25" hidden="false" customHeight="false" outlineLevel="0" collapsed="false">
      <c r="A112" s="16"/>
      <c r="B112" s="16"/>
      <c r="C112" s="17"/>
      <c r="D112" s="18" t="str">
        <f aca="false">IF(B112="","",SUMIF(TRACKING!E:E,B112,TRACKING!G:G))</f>
        <v/>
      </c>
      <c r="E112" s="19" t="str">
        <f aca="false">IF(AND(A112="",B112=""),"",COUNTIF(D$1:D112,"")-1)</f>
        <v/>
      </c>
      <c r="F112" s="18" t="str">
        <f aca="false">IF(A112="","",SUMIF(E:E,E112,C:C))</f>
        <v/>
      </c>
      <c r="G112" s="18" t="str">
        <f aca="false">IF(A112="","",SUMIF(TRACKING!D:D,A112,TRACKING!G:G))</f>
        <v/>
      </c>
      <c r="H112" s="20" t="str">
        <f aca="false">IFERROR(IF(A112="",IF(B112="","",D112/C112*100-100),G112/F112*100-100),"")</f>
        <v/>
      </c>
    </row>
    <row r="113" customFormat="false" ht="14.25" hidden="false" customHeight="false" outlineLevel="0" collapsed="false">
      <c r="A113" s="16"/>
      <c r="B113" s="16"/>
      <c r="C113" s="17"/>
      <c r="D113" s="18" t="str">
        <f aca="false">IF(B113="","",SUMIF(TRACKING!E:E,B113,TRACKING!G:G))</f>
        <v/>
      </c>
      <c r="E113" s="19" t="str">
        <f aca="false">IF(AND(A113="",B113=""),"",COUNTIF(D$1:D113,"")-1)</f>
        <v/>
      </c>
      <c r="F113" s="18" t="str">
        <f aca="false">IF(A113="","",SUMIF(E:E,E113,C:C))</f>
        <v/>
      </c>
      <c r="G113" s="18" t="str">
        <f aca="false">IF(A113="","",SUMIF(TRACKING!D:D,A113,TRACKING!G:G))</f>
        <v/>
      </c>
      <c r="H113" s="20" t="str">
        <f aca="false">IFERROR(IF(A113="",IF(B113="","",D113/C113*100-100),G113/F113*100-100),"")</f>
        <v/>
      </c>
    </row>
    <row r="114" customFormat="false" ht="14.25" hidden="false" customHeight="false" outlineLevel="0" collapsed="false">
      <c r="A114" s="16"/>
      <c r="B114" s="16"/>
      <c r="C114" s="17"/>
      <c r="D114" s="18" t="str">
        <f aca="false">IF(B114="","",SUMIF(TRACKING!E:E,B114,TRACKING!G:G))</f>
        <v/>
      </c>
      <c r="E114" s="19" t="str">
        <f aca="false">IF(AND(A114="",B114=""),"",COUNTIF(D$1:D114,"")-1)</f>
        <v/>
      </c>
      <c r="F114" s="18" t="str">
        <f aca="false">IF(A114="","",SUMIF(E:E,E114,C:C))</f>
        <v/>
      </c>
      <c r="G114" s="18" t="str">
        <f aca="false">IF(A114="","",SUMIF(TRACKING!D:D,A114,TRACKING!G:G))</f>
        <v/>
      </c>
      <c r="H114" s="20" t="str">
        <f aca="false">IFERROR(IF(A114="",IF(B114="","",D114/C114*100-100),G114/F114*100-100),"")</f>
        <v/>
      </c>
    </row>
    <row r="115" customFormat="false" ht="14.25" hidden="false" customHeight="false" outlineLevel="0" collapsed="false">
      <c r="A115" s="16"/>
      <c r="B115" s="16"/>
      <c r="C115" s="17"/>
      <c r="D115" s="18" t="str">
        <f aca="false">IF(B115="","",SUMIF(TRACKING!E:E,B115,TRACKING!G:G))</f>
        <v/>
      </c>
      <c r="E115" s="19" t="str">
        <f aca="false">IF(AND(A115="",B115=""),"",COUNTIF(D$1:D115,"")-1)</f>
        <v/>
      </c>
      <c r="F115" s="18" t="str">
        <f aca="false">IF(A115="","",SUMIF(E:E,E115,C:C))</f>
        <v/>
      </c>
      <c r="G115" s="18" t="str">
        <f aca="false">IF(A115="","",SUMIF(TRACKING!D:D,A115,TRACKING!G:G))</f>
        <v/>
      </c>
      <c r="H115" s="20" t="str">
        <f aca="false">IFERROR(IF(A115="",IF(B115="","",D115/C115*100-100),G115/F115*100-100),"")</f>
        <v/>
      </c>
    </row>
    <row r="116" customFormat="false" ht="14.25" hidden="false" customHeight="false" outlineLevel="0" collapsed="false">
      <c r="A116" s="16"/>
      <c r="B116" s="16"/>
      <c r="C116" s="17"/>
      <c r="D116" s="18" t="str">
        <f aca="false">IF(B116="","",SUMIF(TRACKING!E:E,B116,TRACKING!G:G))</f>
        <v/>
      </c>
      <c r="E116" s="19" t="str">
        <f aca="false">IF(AND(A116="",B116=""),"",COUNTIF(D$1:D116,"")-1)</f>
        <v/>
      </c>
      <c r="F116" s="18" t="str">
        <f aca="false">IF(A116="","",SUMIF(E:E,E116,C:C))</f>
        <v/>
      </c>
      <c r="G116" s="18" t="str">
        <f aca="false">IF(A116="","",SUMIF(TRACKING!D:D,A116,TRACKING!G:G))</f>
        <v/>
      </c>
      <c r="H116" s="20" t="str">
        <f aca="false">IFERROR(IF(A116="",IF(B116="","",D116/C116*100-100),G116/F116*100-100),"")</f>
        <v/>
      </c>
    </row>
    <row r="117" customFormat="false" ht="14.25" hidden="false" customHeight="false" outlineLevel="0" collapsed="false">
      <c r="A117" s="16"/>
      <c r="B117" s="16"/>
      <c r="C117" s="17"/>
      <c r="D117" s="18" t="str">
        <f aca="false">IF(B117="","",SUMIF(TRACKING!E:E,B117,TRACKING!G:G))</f>
        <v/>
      </c>
      <c r="E117" s="19" t="str">
        <f aca="false">IF(AND(A117="",B117=""),"",COUNTIF(D$1:D117,"")-1)</f>
        <v/>
      </c>
      <c r="F117" s="18" t="str">
        <f aca="false">IF(A117="","",SUMIF(E:E,E117,C:C))</f>
        <v/>
      </c>
      <c r="G117" s="18" t="str">
        <f aca="false">IF(A117="","",SUMIF(TRACKING!D:D,A117,TRACKING!G:G))</f>
        <v/>
      </c>
      <c r="H117" s="20" t="str">
        <f aca="false">IFERROR(IF(A117="",IF(B117="","",D117/C117*100-100),G117/F117*100-100),"")</f>
        <v/>
      </c>
    </row>
    <row r="118" customFormat="false" ht="14.25" hidden="false" customHeight="false" outlineLevel="0" collapsed="false">
      <c r="A118" s="16"/>
      <c r="B118" s="16"/>
      <c r="C118" s="17"/>
      <c r="D118" s="18" t="str">
        <f aca="false">IF(B118="","",SUMIF(TRACKING!E:E,B118,TRACKING!G:G))</f>
        <v/>
      </c>
      <c r="E118" s="19" t="str">
        <f aca="false">IF(AND(A118="",B118=""),"",COUNTIF(D$1:D118,"")-1)</f>
        <v/>
      </c>
      <c r="F118" s="18" t="str">
        <f aca="false">IF(A118="","",SUMIF(E:E,E118,C:C))</f>
        <v/>
      </c>
      <c r="G118" s="18" t="str">
        <f aca="false">IF(A118="","",SUMIF(TRACKING!D:D,A118,TRACKING!G:G))</f>
        <v/>
      </c>
      <c r="H118" s="20" t="str">
        <f aca="false">IFERROR(IF(A118="",IF(B118="","",D118/C118*100-100),G118/F118*100-100),"")</f>
        <v/>
      </c>
    </row>
    <row r="119" customFormat="false" ht="14.25" hidden="false" customHeight="false" outlineLevel="0" collapsed="false">
      <c r="A119" s="16"/>
      <c r="B119" s="16"/>
      <c r="C119" s="17"/>
      <c r="D119" s="18" t="str">
        <f aca="false">IF(B119="","",SUMIF(TRACKING!E:E,B119,TRACKING!G:G))</f>
        <v/>
      </c>
      <c r="E119" s="19" t="str">
        <f aca="false">IF(AND(A119="",B119=""),"",COUNTIF(D$1:D119,"")-1)</f>
        <v/>
      </c>
      <c r="F119" s="18" t="str">
        <f aca="false">IF(A119="","",SUMIF(E:E,E119,C:C))</f>
        <v/>
      </c>
      <c r="G119" s="18" t="str">
        <f aca="false">IF(A119="","",SUMIF(TRACKING!D:D,A119,TRACKING!G:G))</f>
        <v/>
      </c>
      <c r="H119" s="20" t="str">
        <f aca="false">IFERROR(IF(A119="",IF(B119="","",D119/C119*100-100),G119/F119*100-100),"")</f>
        <v/>
      </c>
    </row>
    <row r="120" customFormat="false" ht="14.25" hidden="false" customHeight="false" outlineLevel="0" collapsed="false">
      <c r="A120" s="16"/>
      <c r="B120" s="16"/>
      <c r="C120" s="17"/>
      <c r="D120" s="18" t="str">
        <f aca="false">IF(B120="","",SUMIF(TRACKING!E:E,B120,TRACKING!G:G))</f>
        <v/>
      </c>
      <c r="E120" s="19" t="str">
        <f aca="false">IF(AND(A120="",B120=""),"",COUNTIF(D$1:D120,"")-1)</f>
        <v/>
      </c>
      <c r="F120" s="18" t="str">
        <f aca="false">IF(A120="","",SUMIF(E:E,E120,C:C))</f>
        <v/>
      </c>
      <c r="G120" s="18" t="str">
        <f aca="false">IF(A120="","",SUMIF(TRACKING!D:D,A120,TRACKING!G:G))</f>
        <v/>
      </c>
      <c r="H120" s="20" t="str">
        <f aca="false">IFERROR(IF(A120="",IF(B120="","",D120/C120*100-100),G120/F120*100-100),"")</f>
        <v/>
      </c>
    </row>
    <row r="121" customFormat="false" ht="14.25" hidden="false" customHeight="false" outlineLevel="0" collapsed="false">
      <c r="A121" s="16"/>
      <c r="B121" s="16"/>
      <c r="C121" s="17"/>
      <c r="D121" s="18" t="str">
        <f aca="false">IF(B121="","",SUMIF(TRACKING!E:E,B121,TRACKING!G:G))</f>
        <v/>
      </c>
      <c r="E121" s="19" t="str">
        <f aca="false">IF(AND(A121="",B121=""),"",COUNTIF(D$1:D121,"")-1)</f>
        <v/>
      </c>
      <c r="F121" s="18" t="str">
        <f aca="false">IF(A121="","",SUMIF(E:E,E121,C:C))</f>
        <v/>
      </c>
      <c r="G121" s="18" t="str">
        <f aca="false">IF(A121="","",SUMIF(TRACKING!D:D,A121,TRACKING!G:G))</f>
        <v/>
      </c>
      <c r="H121" s="20" t="str">
        <f aca="false">IFERROR(IF(A121="",IF(B121="","",D121/C121*100-100),G121/F121*100-100),"")</f>
        <v/>
      </c>
    </row>
    <row r="122" customFormat="false" ht="14.25" hidden="false" customHeight="false" outlineLevel="0" collapsed="false">
      <c r="A122" s="16"/>
      <c r="B122" s="16"/>
      <c r="C122" s="17"/>
      <c r="D122" s="18" t="str">
        <f aca="false">IF(B122="","",SUMIF(TRACKING!E:E,B122,TRACKING!G:G))</f>
        <v/>
      </c>
      <c r="E122" s="19" t="str">
        <f aca="false">IF(AND(A122="",B122=""),"",COUNTIF(D$1:D122,"")-1)</f>
        <v/>
      </c>
      <c r="F122" s="18" t="str">
        <f aca="false">IF(A122="","",SUMIF(E:E,E122,C:C))</f>
        <v/>
      </c>
      <c r="G122" s="18" t="str">
        <f aca="false">IF(A122="","",SUMIF(TRACKING!D:D,A122,TRACKING!G:G))</f>
        <v/>
      </c>
      <c r="H122" s="20" t="str">
        <f aca="false">IFERROR(IF(A122="",IF(B122="","",D122/C122*100-100),G122/F122*100-100),"")</f>
        <v/>
      </c>
    </row>
    <row r="123" customFormat="false" ht="14.25" hidden="false" customHeight="false" outlineLevel="0" collapsed="false">
      <c r="A123" s="16"/>
      <c r="B123" s="16"/>
      <c r="C123" s="17"/>
      <c r="D123" s="18" t="str">
        <f aca="false">IF(B123="","",SUMIF(TRACKING!E:E,B123,TRACKING!G:G))</f>
        <v/>
      </c>
      <c r="E123" s="19" t="str">
        <f aca="false">IF(AND(A123="",B123=""),"",COUNTIF(D$1:D123,"")-1)</f>
        <v/>
      </c>
      <c r="F123" s="18" t="str">
        <f aca="false">IF(A123="","",SUMIF(E:E,E123,C:C))</f>
        <v/>
      </c>
      <c r="G123" s="18" t="str">
        <f aca="false">IF(A123="","",SUMIF(TRACKING!D:D,A123,TRACKING!G:G))</f>
        <v/>
      </c>
      <c r="H123" s="20" t="str">
        <f aca="false">IFERROR(IF(A123="",IF(B123="","",D123/C123*100-100),G123/F123*100-100),"")</f>
        <v/>
      </c>
    </row>
    <row r="124" customFormat="false" ht="14.25" hidden="false" customHeight="false" outlineLevel="0" collapsed="false">
      <c r="A124" s="16"/>
      <c r="B124" s="16"/>
      <c r="C124" s="17"/>
      <c r="D124" s="18" t="str">
        <f aca="false">IF(B124="","",SUMIF(TRACKING!E:E,B124,TRACKING!G:G))</f>
        <v/>
      </c>
      <c r="E124" s="19" t="str">
        <f aca="false">IF(AND(A124="",B124=""),"",COUNTIF(D$1:D124,"")-1)</f>
        <v/>
      </c>
      <c r="F124" s="18" t="str">
        <f aca="false">IF(A124="","",SUMIF(E:E,E124,C:C))</f>
        <v/>
      </c>
      <c r="G124" s="18" t="str">
        <f aca="false">IF(A124="","",SUMIF(TRACKING!D:D,A124,TRACKING!G:G))</f>
        <v/>
      </c>
      <c r="H124" s="20" t="str">
        <f aca="false">IFERROR(IF(A124="",IF(B124="","",D124/C124*100-100),G124/F124*100-100),"")</f>
        <v/>
      </c>
    </row>
    <row r="125" customFormat="false" ht="14.25" hidden="false" customHeight="false" outlineLevel="0" collapsed="false">
      <c r="A125" s="16"/>
      <c r="B125" s="16"/>
      <c r="C125" s="17"/>
      <c r="D125" s="18" t="str">
        <f aca="false">IF(B125="","",SUMIF(TRACKING!E:E,B125,TRACKING!G:G))</f>
        <v/>
      </c>
      <c r="E125" s="19" t="str">
        <f aca="false">IF(AND(A125="",B125=""),"",COUNTIF(D$1:D125,"")-1)</f>
        <v/>
      </c>
      <c r="F125" s="18" t="str">
        <f aca="false">IF(A125="","",SUMIF(E:E,E125,C:C))</f>
        <v/>
      </c>
      <c r="G125" s="18" t="str">
        <f aca="false">IF(A125="","",SUMIF(TRACKING!D:D,A125,TRACKING!G:G))</f>
        <v/>
      </c>
      <c r="H125" s="20" t="str">
        <f aca="false">IFERROR(IF(A125="",IF(B125="","",D125/C125*100-100),G125/F125*100-100),"")</f>
        <v/>
      </c>
    </row>
    <row r="126" customFormat="false" ht="14.25" hidden="false" customHeight="false" outlineLevel="0" collapsed="false">
      <c r="A126" s="16"/>
      <c r="B126" s="16"/>
      <c r="C126" s="17"/>
      <c r="D126" s="18" t="str">
        <f aca="false">IF(B126="","",SUMIF(TRACKING!E:E,B126,TRACKING!G:G))</f>
        <v/>
      </c>
      <c r="E126" s="19" t="str">
        <f aca="false">IF(AND(A126="",B126=""),"",COUNTIF(D$1:D126,"")-1)</f>
        <v/>
      </c>
      <c r="F126" s="18" t="str">
        <f aca="false">IF(A126="","",SUMIF(E:E,E126,C:C))</f>
        <v/>
      </c>
      <c r="G126" s="18" t="str">
        <f aca="false">IF(A126="","",SUMIF(TRACKING!D:D,A126,TRACKING!G:G))</f>
        <v/>
      </c>
      <c r="H126" s="20" t="str">
        <f aca="false">IFERROR(IF(A126="",IF(B126="","",D126/C126*100-100),G126/F126*100-100),"")</f>
        <v/>
      </c>
    </row>
    <row r="127" customFormat="false" ht="14.25" hidden="false" customHeight="false" outlineLevel="0" collapsed="false">
      <c r="A127" s="16"/>
      <c r="B127" s="16"/>
      <c r="C127" s="17"/>
      <c r="D127" s="18" t="str">
        <f aca="false">IF(B127="","",SUMIF(TRACKING!E:E,B127,TRACKING!G:G))</f>
        <v/>
      </c>
      <c r="E127" s="19" t="str">
        <f aca="false">IF(AND(A127="",B127=""),"",COUNTIF(D$1:D127,"")-1)</f>
        <v/>
      </c>
      <c r="F127" s="18" t="str">
        <f aca="false">IF(A127="","",SUMIF(E:E,E127,C:C))</f>
        <v/>
      </c>
      <c r="G127" s="18" t="str">
        <f aca="false">IF(A127="","",SUMIF(TRACKING!D:D,A127,TRACKING!G:G))</f>
        <v/>
      </c>
      <c r="H127" s="20" t="str">
        <f aca="false">IFERROR(IF(A127="",IF(B127="","",D127/C127*100-100),G127/F127*100-100),"")</f>
        <v/>
      </c>
    </row>
    <row r="128" customFormat="false" ht="14.25" hidden="false" customHeight="false" outlineLevel="0" collapsed="false">
      <c r="A128" s="16"/>
      <c r="B128" s="16"/>
      <c r="C128" s="17"/>
      <c r="D128" s="18" t="str">
        <f aca="false">IF(B128="","",SUMIF(TRACKING!E:E,B128,TRACKING!G:G))</f>
        <v/>
      </c>
      <c r="E128" s="19" t="str">
        <f aca="false">IF(AND(A128="",B128=""),"",COUNTIF(D$1:D128,"")-1)</f>
        <v/>
      </c>
      <c r="F128" s="18" t="str">
        <f aca="false">IF(A128="","",SUMIF(E:E,E128,C:C))</f>
        <v/>
      </c>
      <c r="G128" s="18" t="str">
        <f aca="false">IF(A128="","",SUMIF(TRACKING!D:D,A128,TRACKING!G:G))</f>
        <v/>
      </c>
      <c r="H128" s="20" t="str">
        <f aca="false">IFERROR(IF(A128="",IF(B128="","",D128/C128*100-100),G128/F128*100-100),"")</f>
        <v/>
      </c>
    </row>
    <row r="129" customFormat="false" ht="14.25" hidden="false" customHeight="false" outlineLevel="0" collapsed="false">
      <c r="A129" s="16"/>
      <c r="B129" s="16"/>
      <c r="C129" s="17"/>
      <c r="D129" s="18" t="str">
        <f aca="false">IF(B129="","",SUMIF(TRACKING!E:E,B129,TRACKING!G:G))</f>
        <v/>
      </c>
      <c r="E129" s="19" t="str">
        <f aca="false">IF(AND(A129="",B129=""),"",COUNTIF(D$1:D129,"")-1)</f>
        <v/>
      </c>
      <c r="F129" s="18" t="str">
        <f aca="false">IF(A129="","",SUMIF(E:E,E129,C:C))</f>
        <v/>
      </c>
      <c r="G129" s="18" t="str">
        <f aca="false">IF(A129="","",SUMIF(TRACKING!D:D,A129,TRACKING!G:G))</f>
        <v/>
      </c>
      <c r="H129" s="20" t="str">
        <f aca="false">IFERROR(IF(A129="",IF(B129="","",D129/C129*100-100),G129/F129*100-100),"")</f>
        <v/>
      </c>
    </row>
    <row r="130" customFormat="false" ht="14.25" hidden="false" customHeight="false" outlineLevel="0" collapsed="false">
      <c r="A130" s="16"/>
      <c r="B130" s="16"/>
      <c r="C130" s="17"/>
      <c r="D130" s="18" t="str">
        <f aca="false">IF(B130="","",SUMIF(TRACKING!E:E,B130,TRACKING!G:G))</f>
        <v/>
      </c>
      <c r="E130" s="19" t="str">
        <f aca="false">IF(AND(A130="",B130=""),"",COUNTIF(D$1:D130,"")-1)</f>
        <v/>
      </c>
      <c r="F130" s="18" t="str">
        <f aca="false">IF(A130="","",SUMIF(E:E,E130,C:C))</f>
        <v/>
      </c>
      <c r="G130" s="18" t="str">
        <f aca="false">IF(A130="","",SUMIF(TRACKING!D:D,A130,TRACKING!G:G))</f>
        <v/>
      </c>
      <c r="H130" s="20" t="str">
        <f aca="false">IFERROR(IF(A130="",IF(B130="","",D130/C130*100-100),G130/F130*100-100),"")</f>
        <v/>
      </c>
    </row>
    <row r="131" customFormat="false" ht="14.25" hidden="false" customHeight="false" outlineLevel="0" collapsed="false">
      <c r="A131" s="16"/>
      <c r="B131" s="16"/>
      <c r="C131" s="17"/>
      <c r="D131" s="18" t="str">
        <f aca="false">IF(B131="","",SUMIF(TRACKING!E:E,B131,TRACKING!G:G))</f>
        <v/>
      </c>
      <c r="E131" s="19" t="str">
        <f aca="false">IF(AND(A131="",B131=""),"",COUNTIF(D$1:D131,"")-1)</f>
        <v/>
      </c>
      <c r="F131" s="18" t="str">
        <f aca="false">IF(A131="","",SUMIF(E:E,E131,C:C))</f>
        <v/>
      </c>
      <c r="G131" s="18" t="str">
        <f aca="false">IF(A131="","",SUMIF(TRACKING!D:D,A131,TRACKING!G:G))</f>
        <v/>
      </c>
      <c r="H131" s="20" t="str">
        <f aca="false">IFERROR(IF(A131="",IF(B131="","",D131/C131*100-100),G131/F131*100-100),"")</f>
        <v/>
      </c>
    </row>
    <row r="132" customFormat="false" ht="14.25" hidden="false" customHeight="false" outlineLevel="0" collapsed="false">
      <c r="A132" s="16"/>
      <c r="B132" s="16"/>
      <c r="C132" s="17"/>
      <c r="D132" s="18" t="str">
        <f aca="false">IF(B132="","",SUMIF(TRACKING!E:E,B132,TRACKING!G:G))</f>
        <v/>
      </c>
      <c r="E132" s="19" t="str">
        <f aca="false">IF(AND(A132="",B132=""),"",COUNTIF(D$1:D132,"")-1)</f>
        <v/>
      </c>
      <c r="F132" s="18" t="str">
        <f aca="false">IF(A132="","",SUMIF(E:E,E132,C:C))</f>
        <v/>
      </c>
      <c r="G132" s="18" t="str">
        <f aca="false">IF(A132="","",SUMIF(TRACKING!D:D,A132,TRACKING!G:G))</f>
        <v/>
      </c>
      <c r="H132" s="20" t="str">
        <f aca="false">IFERROR(IF(A132="",IF(B132="","",D132/C132*100-100),G132/F132*100-100),"")</f>
        <v/>
      </c>
    </row>
    <row r="133" customFormat="false" ht="14.25" hidden="false" customHeight="false" outlineLevel="0" collapsed="false">
      <c r="A133" s="16"/>
      <c r="B133" s="16"/>
      <c r="C133" s="17"/>
      <c r="D133" s="18" t="str">
        <f aca="false">IF(B133="","",SUMIF(TRACKING!E:E,B133,TRACKING!G:G))</f>
        <v/>
      </c>
      <c r="E133" s="19" t="str">
        <f aca="false">IF(AND(A133="",B133=""),"",COUNTIF(D$1:D133,"")-1)</f>
        <v/>
      </c>
      <c r="F133" s="18" t="str">
        <f aca="false">IF(A133="","",SUMIF(E:E,E133,C:C))</f>
        <v/>
      </c>
      <c r="G133" s="18" t="str">
        <f aca="false">IF(A133="","",SUMIF(TRACKING!D:D,A133,TRACKING!G:G))</f>
        <v/>
      </c>
      <c r="H133" s="20" t="str">
        <f aca="false">IFERROR(IF(A133="",IF(B133="","",D133/C133*100-100),G133/F133*100-100),"")</f>
        <v/>
      </c>
    </row>
    <row r="134" customFormat="false" ht="14.25" hidden="false" customHeight="false" outlineLevel="0" collapsed="false">
      <c r="A134" s="16"/>
      <c r="B134" s="16"/>
      <c r="C134" s="17"/>
      <c r="D134" s="18" t="str">
        <f aca="false">IF(B134="","",SUMIF(TRACKING!E:E,B134,TRACKING!G:G))</f>
        <v/>
      </c>
      <c r="E134" s="19" t="str">
        <f aca="false">IF(AND(A134="",B134=""),"",COUNTIF(D$1:D134,"")-1)</f>
        <v/>
      </c>
      <c r="F134" s="18" t="str">
        <f aca="false">IF(A134="","",SUMIF(E:E,E134,C:C))</f>
        <v/>
      </c>
      <c r="G134" s="18" t="str">
        <f aca="false">IF(A134="","",SUMIF(TRACKING!D:D,A134,TRACKING!G:G))</f>
        <v/>
      </c>
      <c r="H134" s="20" t="str">
        <f aca="false">IFERROR(IF(A134="",IF(B134="","",D134/C134*100-100),G134/F134*100-100),"")</f>
        <v/>
      </c>
    </row>
    <row r="135" customFormat="false" ht="14.25" hidden="false" customHeight="false" outlineLevel="0" collapsed="false">
      <c r="A135" s="16"/>
      <c r="B135" s="16"/>
      <c r="C135" s="17"/>
      <c r="D135" s="18" t="str">
        <f aca="false">IF(B135="","",SUMIF(TRACKING!E:E,B135,TRACKING!G:G))</f>
        <v/>
      </c>
      <c r="E135" s="19" t="str">
        <f aca="false">IF(AND(A135="",B135=""),"",COUNTIF(D$1:D135,"")-1)</f>
        <v/>
      </c>
      <c r="F135" s="18" t="str">
        <f aca="false">IF(A135="","",SUMIF(E:E,E135,C:C))</f>
        <v/>
      </c>
      <c r="G135" s="18" t="str">
        <f aca="false">IF(A135="","",SUMIF(TRACKING!D:D,A135,TRACKING!G:G))</f>
        <v/>
      </c>
      <c r="H135" s="20" t="str">
        <f aca="false">IFERROR(IF(A135="",IF(B135="","",D135/C135*100-100),G135/F135*100-100),"")</f>
        <v/>
      </c>
    </row>
    <row r="136" customFormat="false" ht="14.25" hidden="false" customHeight="false" outlineLevel="0" collapsed="false">
      <c r="A136" s="16"/>
      <c r="B136" s="16"/>
      <c r="C136" s="17"/>
      <c r="D136" s="18" t="str">
        <f aca="false">IF(B136="","",SUMIF(TRACKING!E:E,B136,TRACKING!G:G))</f>
        <v/>
      </c>
      <c r="E136" s="19" t="str">
        <f aca="false">IF(AND(A136="",B136=""),"",COUNTIF(D$1:D136,"")-1)</f>
        <v/>
      </c>
      <c r="F136" s="18" t="str">
        <f aca="false">IF(A136="","",SUMIF(E:E,E136,C:C))</f>
        <v/>
      </c>
      <c r="G136" s="18" t="str">
        <f aca="false">IF(A136="","",SUMIF(TRACKING!D:D,A136,TRACKING!G:G))</f>
        <v/>
      </c>
      <c r="H136" s="20" t="str">
        <f aca="false">IFERROR(IF(A136="",IF(B136="","",D136/C136*100-100),G136/F136*100-100),"")</f>
        <v/>
      </c>
    </row>
    <row r="137" customFormat="false" ht="14.25" hidden="false" customHeight="false" outlineLevel="0" collapsed="false">
      <c r="A137" s="16"/>
      <c r="B137" s="16"/>
      <c r="C137" s="17"/>
      <c r="D137" s="18" t="str">
        <f aca="false">IF(B137="","",SUMIF(TRACKING!E:E,B137,TRACKING!G:G))</f>
        <v/>
      </c>
      <c r="E137" s="19" t="str">
        <f aca="false">IF(AND(A137="",B137=""),"",COUNTIF(D$1:D137,"")-1)</f>
        <v/>
      </c>
      <c r="F137" s="18" t="str">
        <f aca="false">IF(A137="","",SUMIF(E:E,E137,C:C))</f>
        <v/>
      </c>
      <c r="G137" s="18" t="str">
        <f aca="false">IF(A137="","",SUMIF(TRACKING!D:D,A137,TRACKING!G:G))</f>
        <v/>
      </c>
      <c r="H137" s="20" t="str">
        <f aca="false">IFERROR(IF(A137="",IF(B137="","",D137/C137*100-100),G137/F137*100-100),"")</f>
        <v/>
      </c>
    </row>
    <row r="138" customFormat="false" ht="14.25" hidden="false" customHeight="false" outlineLevel="0" collapsed="false">
      <c r="A138" s="16"/>
      <c r="B138" s="16"/>
      <c r="C138" s="17"/>
      <c r="D138" s="18" t="str">
        <f aca="false">IF(B138="","",SUMIF(TRACKING!E:E,B138,TRACKING!G:G))</f>
        <v/>
      </c>
      <c r="E138" s="19" t="str">
        <f aca="false">IF(AND(A138="",B138=""),"",COUNTIF(D$1:D138,"")-1)</f>
        <v/>
      </c>
      <c r="F138" s="18" t="str">
        <f aca="false">IF(A138="","",SUMIF(E:E,E138,C:C))</f>
        <v/>
      </c>
      <c r="G138" s="18" t="str">
        <f aca="false">IF(A138="","",SUMIF(TRACKING!D:D,A138,TRACKING!G:G))</f>
        <v/>
      </c>
      <c r="H138" s="20" t="str">
        <f aca="false">IFERROR(IF(A138="",IF(B138="","",D138/C138*100-100),G138/F138*100-100),"")</f>
        <v/>
      </c>
    </row>
    <row r="139" customFormat="false" ht="14.25" hidden="false" customHeight="false" outlineLevel="0" collapsed="false">
      <c r="A139" s="16"/>
      <c r="B139" s="16"/>
      <c r="C139" s="17"/>
      <c r="D139" s="18" t="str">
        <f aca="false">IF(B139="","",SUMIF(TRACKING!E:E,B139,TRACKING!G:G))</f>
        <v/>
      </c>
      <c r="E139" s="19" t="str">
        <f aca="false">IF(AND(A139="",B139=""),"",COUNTIF(D$1:D139,"")-1)</f>
        <v/>
      </c>
      <c r="F139" s="18" t="str">
        <f aca="false">IF(A139="","",SUMIF(E:E,E139,C:C))</f>
        <v/>
      </c>
      <c r="G139" s="18" t="str">
        <f aca="false">IF(A139="","",SUMIF(TRACKING!D:D,A139,TRACKING!G:G))</f>
        <v/>
      </c>
      <c r="H139" s="20" t="str">
        <f aca="false">IFERROR(IF(A139="",IF(B139="","",D139/C139*100-100),G139/F139*100-100),"")</f>
        <v/>
      </c>
    </row>
    <row r="140" customFormat="false" ht="14.25" hidden="false" customHeight="false" outlineLevel="0" collapsed="false">
      <c r="A140" s="16"/>
      <c r="B140" s="16"/>
      <c r="C140" s="17"/>
      <c r="D140" s="18" t="str">
        <f aca="false">IF(B140="","",SUMIF(TRACKING!E:E,B140,TRACKING!G:G))</f>
        <v/>
      </c>
      <c r="E140" s="19" t="str">
        <f aca="false">IF(AND(A140="",B140=""),"",COUNTIF(D$1:D140,"")-1)</f>
        <v/>
      </c>
      <c r="F140" s="18" t="str">
        <f aca="false">IF(A140="","",SUMIF(E:E,E140,C:C))</f>
        <v/>
      </c>
      <c r="G140" s="18" t="str">
        <f aca="false">IF(A140="","",SUMIF(TRACKING!D:D,A140,TRACKING!G:G))</f>
        <v/>
      </c>
      <c r="H140" s="20" t="str">
        <f aca="false">IFERROR(IF(A140="",IF(B140="","",D140/C140*100-100),G140/F140*100-100),"")</f>
        <v/>
      </c>
    </row>
    <row r="141" customFormat="false" ht="14.25" hidden="false" customHeight="false" outlineLevel="0" collapsed="false">
      <c r="A141" s="16"/>
      <c r="B141" s="16"/>
      <c r="C141" s="17"/>
      <c r="D141" s="18" t="str">
        <f aca="false">IF(B141="","",SUMIF(TRACKING!E:E,B141,TRACKING!G:G))</f>
        <v/>
      </c>
      <c r="E141" s="19" t="str">
        <f aca="false">IF(AND(A141="",B141=""),"",COUNTIF(D$1:D141,"")-1)</f>
        <v/>
      </c>
      <c r="F141" s="18" t="str">
        <f aca="false">IF(A141="","",SUMIF(E:E,E141,C:C))</f>
        <v/>
      </c>
      <c r="G141" s="18" t="str">
        <f aca="false">IF(A141="","",SUMIF(TRACKING!D:D,A141,TRACKING!G:G))</f>
        <v/>
      </c>
      <c r="H141" s="20" t="str">
        <f aca="false">IFERROR(IF(A141="",IF(B141="","",D141/C141*100-100),G141/F141*100-100),"")</f>
        <v/>
      </c>
    </row>
    <row r="142" customFormat="false" ht="14.25" hidden="false" customHeight="false" outlineLevel="0" collapsed="false">
      <c r="A142" s="16"/>
      <c r="B142" s="16"/>
      <c r="C142" s="17"/>
      <c r="D142" s="18" t="str">
        <f aca="false">IF(B142="","",SUMIF(TRACKING!E:E,B142,TRACKING!G:G))</f>
        <v/>
      </c>
      <c r="E142" s="19" t="str">
        <f aca="false">IF(AND(A142="",B142=""),"",COUNTIF(D$1:D142,"")-1)</f>
        <v/>
      </c>
      <c r="F142" s="18" t="str">
        <f aca="false">IF(A142="","",SUMIF(E:E,E142,C:C))</f>
        <v/>
      </c>
      <c r="G142" s="18" t="str">
        <f aca="false">IF(A142="","",SUMIF(TRACKING!D:D,A142,TRACKING!G:G))</f>
        <v/>
      </c>
      <c r="H142" s="20" t="str">
        <f aca="false">IFERROR(IF(A142="",IF(B142="","",D142/C142*100-100),G142/F142*100-100),"")</f>
        <v/>
      </c>
    </row>
    <row r="143" customFormat="false" ht="14.25" hidden="false" customHeight="false" outlineLevel="0" collapsed="false">
      <c r="A143" s="16"/>
      <c r="B143" s="16"/>
      <c r="C143" s="17"/>
      <c r="D143" s="18" t="str">
        <f aca="false">IF(B143="","",SUMIF(TRACKING!E:E,B143,TRACKING!G:G))</f>
        <v/>
      </c>
      <c r="E143" s="19" t="str">
        <f aca="false">IF(AND(A143="",B143=""),"",COUNTIF(D$1:D143,"")-1)</f>
        <v/>
      </c>
      <c r="F143" s="18" t="str">
        <f aca="false">IF(A143="","",SUMIF(E:E,E143,C:C))</f>
        <v/>
      </c>
      <c r="G143" s="18" t="str">
        <f aca="false">IF(A143="","",SUMIF(TRACKING!D:D,A143,TRACKING!G:G))</f>
        <v/>
      </c>
      <c r="H143" s="20" t="str">
        <f aca="false">IFERROR(IF(A143="",IF(B143="","",D143/C143*100-100),G143/F143*100-100),"")</f>
        <v/>
      </c>
    </row>
    <row r="144" customFormat="false" ht="14.25" hidden="false" customHeight="false" outlineLevel="0" collapsed="false">
      <c r="A144" s="16"/>
      <c r="B144" s="16"/>
      <c r="C144" s="17"/>
      <c r="D144" s="18" t="str">
        <f aca="false">IF(B144="","",SUMIF(TRACKING!E:E,B144,TRACKING!G:G))</f>
        <v/>
      </c>
      <c r="E144" s="19" t="str">
        <f aca="false">IF(AND(A144="",B144=""),"",COUNTIF(D$1:D144,"")-1)</f>
        <v/>
      </c>
      <c r="F144" s="18" t="str">
        <f aca="false">IF(A144="","",SUMIF(E:E,E144,C:C))</f>
        <v/>
      </c>
      <c r="G144" s="18" t="str">
        <f aca="false">IF(A144="","",SUMIF(TRACKING!D:D,A144,TRACKING!G:G))</f>
        <v/>
      </c>
      <c r="H144" s="20" t="str">
        <f aca="false">IFERROR(IF(A144="",IF(B144="","",D144/C144*100-100),G144/F144*100-100),"")</f>
        <v/>
      </c>
    </row>
    <row r="145" customFormat="false" ht="14.25" hidden="false" customHeight="false" outlineLevel="0" collapsed="false">
      <c r="A145" s="16"/>
      <c r="B145" s="16"/>
      <c r="C145" s="17"/>
      <c r="D145" s="18" t="str">
        <f aca="false">IF(B145="","",SUMIF(TRACKING!E:E,B145,TRACKING!G:G))</f>
        <v/>
      </c>
      <c r="E145" s="19" t="str">
        <f aca="false">IF(AND(A145="",B145=""),"",COUNTIF(D$1:D145,"")-1)</f>
        <v/>
      </c>
      <c r="F145" s="18" t="str">
        <f aca="false">IF(A145="","",SUMIF(E:E,E145,C:C))</f>
        <v/>
      </c>
      <c r="G145" s="18" t="str">
        <f aca="false">IF(A145="","",SUMIF(TRACKING!D:D,A145,TRACKING!G:G))</f>
        <v/>
      </c>
      <c r="H145" s="20" t="str">
        <f aca="false">IFERROR(IF(A145="",IF(B145="","",D145/C145*100-100),G145/F145*100-100),"")</f>
        <v/>
      </c>
    </row>
    <row r="146" customFormat="false" ht="14.25" hidden="false" customHeight="false" outlineLevel="0" collapsed="false">
      <c r="A146" s="16"/>
      <c r="B146" s="16"/>
      <c r="C146" s="17"/>
      <c r="D146" s="18" t="str">
        <f aca="false">IF(B146="","",SUMIF(TRACKING!E:E,B146,TRACKING!G:G))</f>
        <v/>
      </c>
      <c r="E146" s="19" t="str">
        <f aca="false">IF(AND(A146="",B146=""),"",COUNTIF(D$1:D146,"")-1)</f>
        <v/>
      </c>
      <c r="F146" s="18" t="str">
        <f aca="false">IF(A146="","",SUMIF(E:E,E146,C:C))</f>
        <v/>
      </c>
      <c r="G146" s="18" t="str">
        <f aca="false">IF(A146="","",SUMIF(TRACKING!D:D,A146,TRACKING!G:G))</f>
        <v/>
      </c>
      <c r="H146" s="20" t="str">
        <f aca="false">IFERROR(IF(A146="",IF(B146="","",D146/C146*100-100),G146/F146*100-100),"")</f>
        <v/>
      </c>
    </row>
    <row r="147" customFormat="false" ht="14.25" hidden="false" customHeight="false" outlineLevel="0" collapsed="false">
      <c r="A147" s="16"/>
      <c r="B147" s="16"/>
      <c r="C147" s="17"/>
      <c r="D147" s="18" t="str">
        <f aca="false">IF(B147="","",SUMIF(TRACKING!E:E,B147,TRACKING!G:G))</f>
        <v/>
      </c>
      <c r="E147" s="19" t="str">
        <f aca="false">IF(AND(A147="",B147=""),"",COUNTIF(D$1:D147,"")-1)</f>
        <v/>
      </c>
      <c r="F147" s="18" t="str">
        <f aca="false">IF(A147="","",SUMIF(E:E,E147,C:C))</f>
        <v/>
      </c>
      <c r="G147" s="18" t="str">
        <f aca="false">IF(A147="","",SUMIF(TRACKING!D:D,A147,TRACKING!G:G))</f>
        <v/>
      </c>
      <c r="H147" s="20" t="str">
        <f aca="false">IFERROR(IF(A147="",IF(B147="","",D147/C147*100-100),G147/F147*100-100),"")</f>
        <v/>
      </c>
    </row>
    <row r="148" customFormat="false" ht="14.25" hidden="false" customHeight="false" outlineLevel="0" collapsed="false">
      <c r="A148" s="16"/>
      <c r="B148" s="16"/>
      <c r="C148" s="17"/>
      <c r="D148" s="18" t="str">
        <f aca="false">IF(B148="","",SUMIF(TRACKING!E:E,B148,TRACKING!G:G))</f>
        <v/>
      </c>
      <c r="E148" s="19" t="str">
        <f aca="false">IF(AND(A148="",B148=""),"",COUNTIF(D$1:D148,"")-1)</f>
        <v/>
      </c>
      <c r="F148" s="18" t="str">
        <f aca="false">IF(A148="","",SUMIF(E:E,E148,C:C))</f>
        <v/>
      </c>
      <c r="G148" s="18" t="str">
        <f aca="false">IF(A148="","",SUMIF(TRACKING!D:D,A148,TRACKING!G:G))</f>
        <v/>
      </c>
      <c r="H148" s="20" t="str">
        <f aca="false">IFERROR(IF(A148="",IF(B148="","",D148/C148*100-100),G148/F148*100-100),"")</f>
        <v/>
      </c>
    </row>
    <row r="149" customFormat="false" ht="14.25" hidden="false" customHeight="false" outlineLevel="0" collapsed="false">
      <c r="A149" s="16"/>
      <c r="B149" s="16"/>
      <c r="C149" s="17"/>
      <c r="D149" s="18" t="str">
        <f aca="false">IF(B149="","",SUMIF(TRACKING!E:E,B149,TRACKING!G:G))</f>
        <v/>
      </c>
      <c r="E149" s="19" t="str">
        <f aca="false">IF(AND(A149="",B149=""),"",COUNTIF(D$1:D149,"")-1)</f>
        <v/>
      </c>
      <c r="F149" s="18" t="str">
        <f aca="false">IF(A149="","",SUMIF(E:E,E149,C:C))</f>
        <v/>
      </c>
      <c r="G149" s="18" t="str">
        <f aca="false">IF(A149="","",SUMIF(TRACKING!D:D,A149,TRACKING!G:G))</f>
        <v/>
      </c>
      <c r="H149" s="20" t="str">
        <f aca="false">IFERROR(IF(A149="",IF(B149="","",D149/C149*100-100),G149/F149*100-100),"")</f>
        <v/>
      </c>
    </row>
    <row r="150" customFormat="false" ht="14.25" hidden="false" customHeight="false" outlineLevel="0" collapsed="false">
      <c r="A150" s="16"/>
      <c r="B150" s="16"/>
      <c r="C150" s="17"/>
      <c r="D150" s="18" t="str">
        <f aca="false">IF(B150="","",SUMIF(TRACKING!E:E,B150,TRACKING!G:G))</f>
        <v/>
      </c>
      <c r="E150" s="19" t="str">
        <f aca="false">IF(AND(A150="",B150=""),"",COUNTIF(D$1:D150,"")-1)</f>
        <v/>
      </c>
      <c r="F150" s="18" t="str">
        <f aca="false">IF(A150="","",SUMIF(E:E,E150,C:C))</f>
        <v/>
      </c>
      <c r="G150" s="18" t="str">
        <f aca="false">IF(A150="","",SUMIF(TRACKING!D:D,A150,TRACKING!G:G))</f>
        <v/>
      </c>
      <c r="H150" s="20" t="str">
        <f aca="false">IFERROR(IF(A150="",IF(B150="","",D150/C150*100-100),G150/F150*100-100),"")</f>
        <v/>
      </c>
    </row>
  </sheetData>
  <sheetProtection algorithmName="SHA-512" hashValue="Il81BvYlt/XAF6PcMq4r6kysvdu+/ulo1+Gej5AhnnHqfOPXTlFQy74w6wtrLfTH25+3hvHszyfT07TCcA1TJQ==" saltValue="nkHYFbAq54raPv3TxUvJjg==" spinCount="100000" sheet="true" objects="true" scenarios="true"/>
  <conditionalFormatting sqref="H2:H150">
    <cfRule type="cellIs" priority="2" operator="equal" aboveAverage="0" equalAverage="0" bottom="0" percent="0" rank="0" text="" dxfId="0">
      <formula>""</formula>
    </cfRule>
    <cfRule type="cellIs" priority="3" operator="greaterThan" aboveAverage="0" equalAverage="0" bottom="0" percent="0" rank="0" text="" dxfId="1">
      <formula>0</formula>
    </cfRule>
    <cfRule type="cellIs" priority="4" operator="lessThanOr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0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H44" activeCellId="0" sqref="H44"/>
    </sheetView>
  </sheetViews>
  <sheetFormatPr defaultColWidth="11.4453125" defaultRowHeight="14.25" customHeight="false" zeroHeight="false" outlineLevelRow="0" outlineLevelCol="0"/>
  <cols>
    <col collapsed="false" customWidth="true" hidden="false" outlineLevel="0" max="1" min="1" style="21" width="14.79"/>
    <col collapsed="false" customWidth="true" hidden="false" outlineLevel="0" max="2" min="2" style="22" width="14.21"/>
    <col collapsed="false" customWidth="true" hidden="false" outlineLevel="0" max="3" min="3" style="22" width="13.76"/>
    <col collapsed="false" customWidth="true" hidden="false" outlineLevel="0" max="4" min="4" style="6" width="30.22"/>
    <col collapsed="false" customWidth="true" hidden="false" outlineLevel="0" max="5" min="5" style="6" width="35.44"/>
    <col collapsed="false" customWidth="true" hidden="false" outlineLevel="0" max="6" min="6" style="6" width="19.21"/>
    <col collapsed="false" customWidth="true" hidden="false" outlineLevel="0" max="7" min="7" style="23" width="11.22"/>
    <col collapsed="false" customWidth="true" hidden="false" outlineLevel="0" max="8" min="8" style="6" width="41.44"/>
  </cols>
  <sheetData>
    <row r="1" s="2" customFormat="true" ht="14.25" hidden="false" customHeight="false" outlineLevel="0" collapsed="false">
      <c r="A1" s="24" t="s">
        <v>57</v>
      </c>
      <c r="B1" s="25" t="s">
        <v>58</v>
      </c>
      <c r="C1" s="25" t="s">
        <v>59</v>
      </c>
      <c r="D1" s="11" t="s">
        <v>14</v>
      </c>
      <c r="E1" s="11" t="s">
        <v>15</v>
      </c>
      <c r="F1" s="11" t="s">
        <v>60</v>
      </c>
      <c r="G1" s="26" t="s">
        <v>61</v>
      </c>
      <c r="H1" s="11" t="s">
        <v>62</v>
      </c>
    </row>
    <row r="2" customFormat="false" ht="14.25" hidden="false" customHeight="false" outlineLevel="0" collapsed="false">
      <c r="A2" s="27" t="n">
        <v>46058</v>
      </c>
      <c r="B2" s="28" t="n">
        <v>0.677083333333333</v>
      </c>
      <c r="C2" s="28" t="n">
        <v>0.6875</v>
      </c>
      <c r="D2" s="16" t="s">
        <v>22</v>
      </c>
      <c r="E2" s="16" t="s">
        <v>23</v>
      </c>
      <c r="F2" s="16" t="s">
        <v>3</v>
      </c>
      <c r="G2" s="29" t="n">
        <f aca="false">IF(D2="","",IF(C2&gt;B2,C2-B2,C2-B2+1))</f>
        <v>0.0104166666666667</v>
      </c>
    </row>
    <row r="3" customFormat="false" ht="14.25" hidden="false" customHeight="false" outlineLevel="0" collapsed="false">
      <c r="A3" s="27" t="n">
        <v>46058</v>
      </c>
      <c r="B3" s="28" t="n">
        <v>0.677083333333333</v>
      </c>
      <c r="C3" s="28" t="n">
        <v>0.6875</v>
      </c>
      <c r="D3" s="16" t="s">
        <v>22</v>
      </c>
      <c r="E3" s="16" t="s">
        <v>23</v>
      </c>
      <c r="F3" s="16" t="s">
        <v>11</v>
      </c>
      <c r="G3" s="29" t="n">
        <f aca="false">IF(D3="","",IF(C3&gt;B3,C3-B3,C3-B3+1))</f>
        <v>0.0104166666666667</v>
      </c>
    </row>
    <row r="4" customFormat="false" ht="14.25" hidden="false" customHeight="false" outlineLevel="0" collapsed="false">
      <c r="A4" s="27" t="n">
        <v>46058</v>
      </c>
      <c r="B4" s="28" t="n">
        <v>0.6875</v>
      </c>
      <c r="C4" s="28" t="n">
        <v>0.701388888888889</v>
      </c>
      <c r="D4" s="16" t="s">
        <v>22</v>
      </c>
      <c r="E4" s="16" t="s">
        <v>24</v>
      </c>
      <c r="F4" s="16" t="s">
        <v>11</v>
      </c>
      <c r="G4" s="29" t="n">
        <f aca="false">IF(D4="","",IF(C4&gt;B4,C4-B4,C4-B4+1))</f>
        <v>0.0138888888888889</v>
      </c>
    </row>
    <row r="5" customFormat="false" ht="14.25" hidden="false" customHeight="false" outlineLevel="0" collapsed="false">
      <c r="A5" s="27" t="n">
        <v>46058</v>
      </c>
      <c r="B5" s="28" t="n">
        <v>0.666666666666667</v>
      </c>
      <c r="C5" s="28" t="n">
        <v>0.677083333333333</v>
      </c>
      <c r="D5" s="16" t="s">
        <v>22</v>
      </c>
      <c r="E5" s="16" t="s">
        <v>23</v>
      </c>
      <c r="F5" s="16" t="s">
        <v>8</v>
      </c>
      <c r="G5" s="29" t="n">
        <f aca="false">IF(D5="","",IF(C5&gt;B5,C5-B5,C5-B5+1))</f>
        <v>0.0104166666666667</v>
      </c>
    </row>
    <row r="6" customFormat="false" ht="14.25" hidden="false" customHeight="false" outlineLevel="0" collapsed="false">
      <c r="A6" s="27" t="n">
        <v>46058</v>
      </c>
      <c r="B6" s="28" t="n">
        <v>0.677083333333333</v>
      </c>
      <c r="C6" s="28" t="n">
        <v>0.701388888888889</v>
      </c>
      <c r="D6" s="16" t="s">
        <v>22</v>
      </c>
      <c r="E6" s="16" t="s">
        <v>24</v>
      </c>
      <c r="F6" s="16" t="s">
        <v>8</v>
      </c>
      <c r="G6" s="29" t="n">
        <f aca="false">IF(D6="","",IF(C6&gt;B6,C6-B6,C6-B6+1))</f>
        <v>0.0243055555555556</v>
      </c>
    </row>
    <row r="7" customFormat="false" ht="14.25" hidden="false" customHeight="false" outlineLevel="0" collapsed="false">
      <c r="A7" s="27" t="n">
        <v>46058</v>
      </c>
      <c r="B7" s="28" t="n">
        <v>0.6875</v>
      </c>
      <c r="C7" s="28" t="n">
        <v>0.697916666666667</v>
      </c>
      <c r="D7" s="16" t="s">
        <v>22</v>
      </c>
      <c r="E7" s="16" t="s">
        <v>24</v>
      </c>
      <c r="F7" s="16" t="s">
        <v>3</v>
      </c>
      <c r="G7" s="29" t="n">
        <f aca="false">IF(D7="","",IF(C7&gt;B7,C7-B7,C7-B7+1))</f>
        <v>0.0104166666666667</v>
      </c>
    </row>
    <row r="8" customFormat="false" ht="14.25" hidden="false" customHeight="false" outlineLevel="0" collapsed="false">
      <c r="A8" s="27" t="n">
        <v>46058</v>
      </c>
      <c r="B8" s="28" t="n">
        <v>0.666666666666667</v>
      </c>
      <c r="C8" s="28" t="n">
        <v>0.677083333333333</v>
      </c>
      <c r="D8" s="16" t="s">
        <v>22</v>
      </c>
      <c r="E8" s="16" t="s">
        <v>23</v>
      </c>
      <c r="F8" s="16" t="s">
        <v>6</v>
      </c>
      <c r="G8" s="29" t="n">
        <f aca="false">IF(D8="","",IF(C8&gt;B8,C8-B8,C8-B8+1))</f>
        <v>0.0104166666666667</v>
      </c>
    </row>
    <row r="9" customFormat="false" ht="14.25" hidden="false" customHeight="false" outlineLevel="0" collapsed="false">
      <c r="A9" s="27" t="n">
        <v>46058</v>
      </c>
      <c r="B9" s="28" t="n">
        <v>0.677083333333333</v>
      </c>
      <c r="C9" s="28" t="n">
        <v>0.701388888888889</v>
      </c>
      <c r="D9" s="16" t="s">
        <v>22</v>
      </c>
      <c r="E9" s="16" t="s">
        <v>24</v>
      </c>
      <c r="F9" s="16" t="s">
        <v>6</v>
      </c>
      <c r="G9" s="29" t="n">
        <f aca="false">IF(D9="","",IF(C9&gt;B9,C9-B9,C9-B9+1))</f>
        <v>0.0243055555555556</v>
      </c>
    </row>
    <row r="10" customFormat="false" ht="14.25" hidden="false" customHeight="false" outlineLevel="0" collapsed="false">
      <c r="A10" s="27" t="n">
        <v>46358</v>
      </c>
      <c r="B10" s="28" t="n">
        <v>0.680555555555556</v>
      </c>
      <c r="C10" s="28" t="n">
        <v>0.694444444444444</v>
      </c>
      <c r="D10" s="16" t="s">
        <v>25</v>
      </c>
      <c r="E10" s="16" t="s">
        <v>26</v>
      </c>
      <c r="F10" s="16" t="s">
        <v>3</v>
      </c>
      <c r="G10" s="29" t="n">
        <f aca="false">IF(D10="","",IF(C10&gt;B10,C10-B10,C10-B10+1))</f>
        <v>0.0138888888888889</v>
      </c>
    </row>
    <row r="11" customFormat="false" ht="14.25" hidden="false" customHeight="false" outlineLevel="0" collapsed="false">
      <c r="A11" s="27" t="n">
        <v>46358</v>
      </c>
      <c r="B11" s="28" t="n">
        <v>0.695138888888889</v>
      </c>
      <c r="C11" s="28" t="n">
        <v>0.713888888888889</v>
      </c>
      <c r="D11" s="16" t="s">
        <v>25</v>
      </c>
      <c r="E11" s="16" t="s">
        <v>27</v>
      </c>
      <c r="F11" s="16" t="s">
        <v>3</v>
      </c>
      <c r="G11" s="29" t="n">
        <f aca="false">IF(D11="","",IF(C11&gt;B11,C11-B11,C11-B11+1))</f>
        <v>0.01875</v>
      </c>
    </row>
    <row r="12" customFormat="false" ht="14.25" hidden="false" customHeight="false" outlineLevel="0" collapsed="false">
      <c r="A12" s="27" t="n">
        <v>46358</v>
      </c>
      <c r="B12" s="28" t="n">
        <v>0.675</v>
      </c>
      <c r="C12" s="28" t="n">
        <v>0.696527777777778</v>
      </c>
      <c r="D12" s="16" t="s">
        <v>25</v>
      </c>
      <c r="E12" s="16" t="s">
        <v>26</v>
      </c>
      <c r="F12" s="16" t="s">
        <v>6</v>
      </c>
      <c r="G12" s="29" t="n">
        <f aca="false">IF(D12="","",IF(C12&gt;B12,C12-B12,C12-B12+1))</f>
        <v>0.0215277777777778</v>
      </c>
    </row>
    <row r="13" customFormat="false" ht="14.25" hidden="false" customHeight="false" outlineLevel="0" collapsed="false">
      <c r="A13" s="27" t="n">
        <v>46358</v>
      </c>
      <c r="B13" s="28" t="n">
        <v>0.697916666666667</v>
      </c>
      <c r="C13" s="28" t="n">
        <v>0.715972222222222</v>
      </c>
      <c r="D13" s="16" t="s">
        <v>25</v>
      </c>
      <c r="E13" s="16" t="s">
        <v>27</v>
      </c>
      <c r="F13" s="16" t="s">
        <v>6</v>
      </c>
      <c r="G13" s="29" t="n">
        <f aca="false">IF(D13="","",IF(C13&gt;B13,C13-B13,C13-B13+1))</f>
        <v>0.0180555555555556</v>
      </c>
    </row>
    <row r="14" customFormat="false" ht="14.25" hidden="false" customHeight="false" outlineLevel="0" collapsed="false">
      <c r="A14" s="27" t="n">
        <v>46358</v>
      </c>
      <c r="B14" s="28" t="n">
        <v>0.673611111111111</v>
      </c>
      <c r="C14" s="28" t="n">
        <v>0.695833333333333</v>
      </c>
      <c r="D14" s="16" t="s">
        <v>25</v>
      </c>
      <c r="E14" s="16" t="s">
        <v>26</v>
      </c>
      <c r="F14" s="16" t="s">
        <v>8</v>
      </c>
      <c r="G14" s="29" t="n">
        <f aca="false">IF(D14="","",IF(C14&gt;B14,C14-B14,C14-B14+1))</f>
        <v>0.0222222222222222</v>
      </c>
    </row>
    <row r="15" customFormat="false" ht="14.25" hidden="false" customHeight="false" outlineLevel="0" collapsed="false">
      <c r="A15" s="27" t="n">
        <v>46358</v>
      </c>
      <c r="B15" s="28" t="n">
        <v>0.695833333333333</v>
      </c>
      <c r="C15" s="28" t="n">
        <v>0.713888888888889</v>
      </c>
      <c r="D15" s="16" t="s">
        <v>25</v>
      </c>
      <c r="E15" s="16" t="s">
        <v>27</v>
      </c>
      <c r="F15" s="16" t="s">
        <v>8</v>
      </c>
      <c r="G15" s="29" t="n">
        <f aca="false">IF(D15="","",IF(C15&gt;B15,C15-B15,C15-B15+1))</f>
        <v>0.0180555555555556</v>
      </c>
    </row>
    <row r="16" customFormat="false" ht="14.25" hidden="false" customHeight="false" outlineLevel="0" collapsed="false">
      <c r="A16" s="27" t="n">
        <v>46358</v>
      </c>
      <c r="B16" s="28" t="n">
        <v>0.673611111111111</v>
      </c>
      <c r="C16" s="28" t="n">
        <v>0.697916666666667</v>
      </c>
      <c r="D16" s="16" t="s">
        <v>25</v>
      </c>
      <c r="E16" s="16" t="s">
        <v>26</v>
      </c>
      <c r="F16" s="16" t="s">
        <v>11</v>
      </c>
      <c r="G16" s="29" t="n">
        <f aca="false">IF(D16="","",IF(C16&gt;B16,C16-B16,C16-B16+1))</f>
        <v>0.0243055555555556</v>
      </c>
    </row>
    <row r="17" customFormat="false" ht="14.25" hidden="false" customHeight="false" outlineLevel="0" collapsed="false">
      <c r="A17" s="27" t="n">
        <v>46358</v>
      </c>
      <c r="B17" s="28" t="n">
        <v>0.697916666666667</v>
      </c>
      <c r="C17" s="28" t="n">
        <v>0.715277777777778</v>
      </c>
      <c r="D17" s="16" t="s">
        <v>25</v>
      </c>
      <c r="E17" s="16" t="s">
        <v>27</v>
      </c>
      <c r="F17" s="16" t="s">
        <v>11</v>
      </c>
      <c r="G17" s="29" t="n">
        <f aca="false">IF(D17="","",IF(C17&gt;B17,C17-B17,C17-B17+1))</f>
        <v>0.0173611111111111</v>
      </c>
    </row>
    <row r="18" customFormat="false" ht="14.25" hidden="false" customHeight="false" outlineLevel="0" collapsed="false">
      <c r="A18" s="27" t="s">
        <v>63</v>
      </c>
      <c r="B18" s="28" t="n">
        <v>0.697916666666667</v>
      </c>
      <c r="C18" s="28" t="n">
        <v>0.734027777777778</v>
      </c>
      <c r="D18" s="16" t="s">
        <v>28</v>
      </c>
      <c r="E18" s="16" t="s">
        <v>29</v>
      </c>
      <c r="F18" s="16" t="s">
        <v>6</v>
      </c>
      <c r="G18" s="29" t="n">
        <f aca="false">IF(D18="","",IF(C18&gt;B18,C18-B18,C18-B18+1))</f>
        <v>0.0361111111111111</v>
      </c>
    </row>
    <row r="19" customFormat="false" ht="14.25" hidden="false" customHeight="false" outlineLevel="0" collapsed="false">
      <c r="A19" s="27" t="s">
        <v>63</v>
      </c>
      <c r="B19" s="28" t="n">
        <v>0.6875</v>
      </c>
      <c r="C19" s="28" t="n">
        <v>0.734027777777778</v>
      </c>
      <c r="D19" s="16" t="s">
        <v>28</v>
      </c>
      <c r="E19" s="16" t="s">
        <v>29</v>
      </c>
      <c r="F19" s="16" t="s">
        <v>3</v>
      </c>
      <c r="G19" s="29" t="n">
        <f aca="false">IF(D19="","",IF(C19&gt;B19,C19-B19,C19-B19+1))</f>
        <v>0.0465277777777778</v>
      </c>
    </row>
    <row r="20" customFormat="false" ht="14.25" hidden="false" customHeight="false" outlineLevel="0" collapsed="false">
      <c r="A20" s="27" t="s">
        <v>63</v>
      </c>
      <c r="B20" s="28" t="n">
        <v>0.735416666666667</v>
      </c>
      <c r="C20" s="28" t="n">
        <v>0.741666666666667</v>
      </c>
      <c r="D20" s="16" t="s">
        <v>28</v>
      </c>
      <c r="E20" s="16" t="s">
        <v>30</v>
      </c>
      <c r="F20" s="16" t="s">
        <v>6</v>
      </c>
      <c r="G20" s="29" t="n">
        <f aca="false">IF(D20="","",IF(C20&gt;B20,C20-B20,C20-B20+1))</f>
        <v>0.00625</v>
      </c>
    </row>
    <row r="21" customFormat="false" ht="14.25" hidden="false" customHeight="false" outlineLevel="0" collapsed="false">
      <c r="A21" s="27" t="s">
        <v>63</v>
      </c>
      <c r="B21" s="28" t="n">
        <v>0.697916666666667</v>
      </c>
      <c r="C21" s="28" t="n">
        <v>0.729166666666667</v>
      </c>
      <c r="D21" s="16" t="s">
        <v>28</v>
      </c>
      <c r="E21" s="16" t="s">
        <v>29</v>
      </c>
      <c r="F21" s="16" t="s">
        <v>11</v>
      </c>
      <c r="G21" s="29" t="n">
        <f aca="false">IF(D21="","",IF(C21&gt;B21,C21-B21,C21-B21+1))</f>
        <v>0.03125</v>
      </c>
    </row>
    <row r="22" customFormat="false" ht="14.25" hidden="false" customHeight="false" outlineLevel="0" collapsed="false">
      <c r="A22" s="27" t="s">
        <v>63</v>
      </c>
      <c r="B22" s="28" t="n">
        <v>0.694444444444444</v>
      </c>
      <c r="C22" s="28" t="n">
        <v>0.729166666666667</v>
      </c>
      <c r="D22" s="16" t="s">
        <v>28</v>
      </c>
      <c r="E22" s="16" t="s">
        <v>29</v>
      </c>
      <c r="F22" s="16" t="s">
        <v>8</v>
      </c>
      <c r="G22" s="29" t="n">
        <f aca="false">IF(D22="","",IF(C22&gt;B22,C22-B22,C22-B22+1))</f>
        <v>0.0347222222222222</v>
      </c>
    </row>
    <row r="23" customFormat="false" ht="14.25" hidden="false" customHeight="false" outlineLevel="0" collapsed="false">
      <c r="A23" s="27" t="s">
        <v>63</v>
      </c>
      <c r="B23" s="28" t="n">
        <v>0.729166666666667</v>
      </c>
      <c r="C23" s="28" t="n">
        <v>0.736111111111111</v>
      </c>
      <c r="D23" s="16" t="s">
        <v>28</v>
      </c>
      <c r="E23" s="16" t="s">
        <v>32</v>
      </c>
      <c r="F23" s="16" t="s">
        <v>8</v>
      </c>
      <c r="G23" s="29" t="n">
        <f aca="false">IF(D23="","",IF(C23&gt;B23,C23-B23,C23-B23+1))</f>
        <v>0.00694444444444444</v>
      </c>
    </row>
    <row r="24" customFormat="false" ht="14.25" hidden="false" customHeight="false" outlineLevel="0" collapsed="false">
      <c r="A24" s="27" t="s">
        <v>63</v>
      </c>
      <c r="B24" s="28" t="n">
        <v>0.729166666666667</v>
      </c>
      <c r="C24" s="28" t="n">
        <v>0.736111111111111</v>
      </c>
      <c r="D24" s="16" t="s">
        <v>28</v>
      </c>
      <c r="E24" s="16" t="s">
        <v>32</v>
      </c>
      <c r="F24" s="16" t="s">
        <v>11</v>
      </c>
      <c r="G24" s="29" t="n">
        <f aca="false">IF(D24="","",IF(C24&gt;B24,C24-B24,C24-B24+1))</f>
        <v>0.00694444444444444</v>
      </c>
    </row>
    <row r="25" customFormat="false" ht="14.25" hidden="false" customHeight="false" outlineLevel="0" collapsed="false">
      <c r="A25" s="27" t="s">
        <v>64</v>
      </c>
      <c r="B25" s="28" t="n">
        <v>0.677083333333333</v>
      </c>
      <c r="C25" s="28" t="n">
        <v>0.704861111111111</v>
      </c>
      <c r="D25" s="16" t="s">
        <v>28</v>
      </c>
      <c r="E25" s="16" t="s">
        <v>30</v>
      </c>
      <c r="F25" s="16" t="s">
        <v>6</v>
      </c>
      <c r="G25" s="29" t="n">
        <f aca="false">IF(D25="","",IF(C25&gt;B25,C25-B25,C25-B25+1))</f>
        <v>0.0277777777777778</v>
      </c>
    </row>
    <row r="26" customFormat="false" ht="14.25" hidden="false" customHeight="false" outlineLevel="0" collapsed="false">
      <c r="A26" s="27" t="s">
        <v>64</v>
      </c>
      <c r="B26" s="28" t="n">
        <v>0.670138888888889</v>
      </c>
      <c r="C26" s="28" t="n">
        <v>0.694444444444444</v>
      </c>
      <c r="D26" s="16" t="s">
        <v>28</v>
      </c>
      <c r="E26" s="16" t="s">
        <v>30</v>
      </c>
      <c r="F26" s="16" t="s">
        <v>3</v>
      </c>
      <c r="G26" s="29" t="n">
        <f aca="false">IF(D26="","",IF(C26&gt;B26,C26-B26,C26-B26+1))</f>
        <v>0.0243055555555556</v>
      </c>
    </row>
    <row r="27" customFormat="false" ht="14.25" hidden="false" customHeight="false" outlineLevel="0" collapsed="false">
      <c r="A27" s="27" t="s">
        <v>64</v>
      </c>
      <c r="B27" s="28" t="n">
        <v>0.694444444444444</v>
      </c>
      <c r="C27" s="28" t="n">
        <v>0.736111111111111</v>
      </c>
      <c r="D27" s="16" t="s">
        <v>28</v>
      </c>
      <c r="E27" s="16" t="s">
        <v>31</v>
      </c>
      <c r="F27" s="16" t="s">
        <v>3</v>
      </c>
      <c r="G27" s="29" t="n">
        <f aca="false">IF(D27="","",IF(C27&gt;B27,C27-B27,C27-B27+1))</f>
        <v>0.0416666666666667</v>
      </c>
    </row>
    <row r="28" customFormat="false" ht="14.25" hidden="false" customHeight="false" outlineLevel="0" collapsed="false">
      <c r="A28" s="27" t="s">
        <v>64</v>
      </c>
      <c r="B28" s="28" t="n">
        <v>0.704861111111111</v>
      </c>
      <c r="C28" s="28" t="n">
        <v>0.713888888888889</v>
      </c>
      <c r="D28" s="16" t="s">
        <v>28</v>
      </c>
      <c r="E28" s="16" t="s">
        <v>31</v>
      </c>
      <c r="F28" s="16" t="s">
        <v>6</v>
      </c>
      <c r="G28" s="29" t="n">
        <f aca="false">IF(D28="","",IF(C28&gt;B28,C28-B28,C28-B28+1))</f>
        <v>0.00902777777777778</v>
      </c>
    </row>
    <row r="29" customFormat="false" ht="14.25" hidden="false" customHeight="false" outlineLevel="0" collapsed="false">
      <c r="A29" s="27" t="s">
        <v>64</v>
      </c>
      <c r="B29" s="28" t="n">
        <v>0.714583333333333</v>
      </c>
      <c r="C29" s="28" t="n">
        <v>0.75</v>
      </c>
      <c r="D29" s="16" t="s">
        <v>28</v>
      </c>
      <c r="E29" s="16" t="s">
        <v>30</v>
      </c>
      <c r="F29" s="16" t="s">
        <v>6</v>
      </c>
      <c r="G29" s="29" t="n">
        <f aca="false">IF(D29="","",IF(C29&gt;B29,C29-B29,C29-B29+1))</f>
        <v>0.0354166666666667</v>
      </c>
    </row>
    <row r="30" customFormat="false" ht="14.25" hidden="false" customHeight="false" outlineLevel="0" collapsed="false">
      <c r="A30" s="27" t="s">
        <v>64</v>
      </c>
      <c r="B30" s="28" t="n">
        <v>0.670138888888889</v>
      </c>
      <c r="C30" s="28" t="n">
        <v>0.704861111111111</v>
      </c>
      <c r="D30" s="16" t="s">
        <v>28</v>
      </c>
      <c r="E30" s="16" t="s">
        <v>30</v>
      </c>
      <c r="F30" s="16" t="s">
        <v>11</v>
      </c>
      <c r="G30" s="29" t="n">
        <f aca="false">IF(D30="","",IF(C30&gt;B30,C30-B30,C30-B30+1))</f>
        <v>0.0347222222222222</v>
      </c>
    </row>
    <row r="31" customFormat="false" ht="14.25" hidden="false" customHeight="false" outlineLevel="0" collapsed="false">
      <c r="A31" s="6" t="s">
        <v>64</v>
      </c>
      <c r="B31" s="28" t="n">
        <v>0.708333333333333</v>
      </c>
      <c r="C31" s="28" t="n">
        <v>0.739583333333333</v>
      </c>
      <c r="D31" s="16" t="s">
        <v>28</v>
      </c>
      <c r="E31" s="16" t="s">
        <v>31</v>
      </c>
      <c r="F31" s="16" t="s">
        <v>11</v>
      </c>
      <c r="G31" s="29" t="n">
        <f aca="false">IF(D31="","",IF(C31&gt;B31,C31-B31,C31-B31+1))</f>
        <v>0.03125</v>
      </c>
    </row>
    <row r="32" customFormat="false" ht="14.25" hidden="false" customHeight="false" outlineLevel="0" collapsed="false">
      <c r="A32" s="27" t="s">
        <v>64</v>
      </c>
      <c r="B32" s="28" t="n">
        <v>0.673611111111111</v>
      </c>
      <c r="C32" s="28" t="n">
        <v>0.708333333333333</v>
      </c>
      <c r="D32" s="16" t="s">
        <v>28</v>
      </c>
      <c r="E32" s="16" t="s">
        <v>30</v>
      </c>
      <c r="F32" s="16" t="s">
        <v>8</v>
      </c>
      <c r="G32" s="29" t="n">
        <f aca="false">IF(D32="","",IF(C32&gt;B32,C32-B32,C32-B32+1))</f>
        <v>0.0347222222222222</v>
      </c>
    </row>
    <row r="33" customFormat="false" ht="14.25" hidden="false" customHeight="false" outlineLevel="0" collapsed="false">
      <c r="A33" s="27" t="s">
        <v>64</v>
      </c>
      <c r="B33" s="28" t="n">
        <v>0.708333333333333</v>
      </c>
      <c r="C33" s="28" t="n">
        <v>0.736111111111111</v>
      </c>
      <c r="D33" s="16" t="s">
        <v>28</v>
      </c>
      <c r="E33" s="16" t="s">
        <v>31</v>
      </c>
      <c r="F33" s="16" t="s">
        <v>8</v>
      </c>
      <c r="G33" s="29" t="n">
        <f aca="false">IF(D33="","",IF(C33&gt;B33,C33-B33,C33-B33+1))</f>
        <v>0.0277777777777778</v>
      </c>
    </row>
    <row r="34" customFormat="false" ht="14.25" hidden="false" customHeight="false" outlineLevel="0" collapsed="false">
      <c r="A34" s="27" t="n">
        <v>46145</v>
      </c>
      <c r="B34" s="28" t="n">
        <v>0.688194444444444</v>
      </c>
      <c r="C34" s="28" t="n">
        <v>0.708333333333333</v>
      </c>
      <c r="D34" s="16" t="s">
        <v>33</v>
      </c>
      <c r="E34" s="16" t="s">
        <v>34</v>
      </c>
      <c r="F34" s="16" t="s">
        <v>6</v>
      </c>
      <c r="G34" s="29" t="n">
        <f aca="false">IF(D34="","",IF(C34&gt;B34,C34-B34,C34-B34+1))</f>
        <v>0.0201388888888889</v>
      </c>
    </row>
    <row r="35" customFormat="false" ht="14.25" hidden="false" customHeight="false" outlineLevel="0" collapsed="false">
      <c r="A35" s="27" t="n">
        <v>46145</v>
      </c>
      <c r="B35" s="28" t="n">
        <v>0.677083333333333</v>
      </c>
      <c r="C35" s="28" t="n">
        <v>0.736111111111111</v>
      </c>
      <c r="D35" s="16" t="s">
        <v>33</v>
      </c>
      <c r="E35" s="16" t="s">
        <v>34</v>
      </c>
      <c r="F35" s="16" t="s">
        <v>3</v>
      </c>
      <c r="G35" s="29" t="n">
        <f aca="false">IF(D35="","",IF(C35&gt;B35,C35-B35,C35-B35+1))</f>
        <v>0.0590277777777778</v>
      </c>
    </row>
    <row r="36" customFormat="false" ht="14.25" hidden="false" customHeight="false" outlineLevel="0" collapsed="false">
      <c r="A36" s="27" t="n">
        <v>46145</v>
      </c>
      <c r="B36" s="28" t="n">
        <v>0.708333333333333</v>
      </c>
      <c r="C36" s="28" t="n">
        <v>0.75</v>
      </c>
      <c r="D36" s="16" t="s">
        <v>33</v>
      </c>
      <c r="E36" s="16" t="s">
        <v>34</v>
      </c>
      <c r="F36" s="16" t="s">
        <v>6</v>
      </c>
      <c r="G36" s="29" t="n">
        <f aca="false">IF(D36="","",IF(C36&gt;B36,C36-B36,C36-B36+1))</f>
        <v>0.0416666666666667</v>
      </c>
    </row>
    <row r="37" customFormat="false" ht="14.25" hidden="false" customHeight="false" outlineLevel="0" collapsed="false">
      <c r="A37" s="27" t="n">
        <v>46145</v>
      </c>
      <c r="B37" s="28" t="n">
        <v>0.677083333333333</v>
      </c>
      <c r="C37" s="28" t="n">
        <v>0.75</v>
      </c>
      <c r="D37" s="16" t="s">
        <v>33</v>
      </c>
      <c r="E37" s="16" t="s">
        <v>34</v>
      </c>
      <c r="F37" s="16" t="s">
        <v>11</v>
      </c>
      <c r="G37" s="29" t="n">
        <f aca="false">IF(D37="","",IF(C37&gt;B37,C37-B37,C37-B37+1))</f>
        <v>0.0729166666666667</v>
      </c>
    </row>
    <row r="38" customFormat="false" ht="14.25" hidden="false" customHeight="false" outlineLevel="0" collapsed="false">
      <c r="A38" s="27" t="n">
        <v>46145</v>
      </c>
      <c r="B38" s="28" t="n">
        <v>0.677083333333333</v>
      </c>
      <c r="C38" s="28" t="n">
        <v>0.739583333333333</v>
      </c>
      <c r="D38" s="16" t="s">
        <v>33</v>
      </c>
      <c r="E38" s="16" t="s">
        <v>34</v>
      </c>
      <c r="F38" s="16" t="s">
        <v>8</v>
      </c>
      <c r="G38" s="29" t="n">
        <f aca="false">IF(D38="","",IF(C38&gt;B38,C38-B38,C38-B38+1))</f>
        <v>0.0625</v>
      </c>
    </row>
    <row r="39" customFormat="false" ht="14.25" hidden="false" customHeight="false" outlineLevel="0" collapsed="false">
      <c r="A39" s="27" t="n">
        <v>46237</v>
      </c>
      <c r="B39" s="28" t="n">
        <v>0.5</v>
      </c>
      <c r="C39" s="28" t="n">
        <v>0.514583333333333</v>
      </c>
      <c r="D39" s="16" t="s">
        <v>33</v>
      </c>
      <c r="E39" s="16" t="s">
        <v>32</v>
      </c>
      <c r="F39" s="16" t="s">
        <v>6</v>
      </c>
      <c r="G39" s="29" t="n">
        <f aca="false">IF(D39="","",IF(C39&gt;B39,C39-B39,C39-B39+1))</f>
        <v>0.0145833333333333</v>
      </c>
    </row>
    <row r="40" customFormat="false" ht="14.25" hidden="false" customHeight="false" outlineLevel="0" collapsed="false">
      <c r="A40" s="27" t="n">
        <v>46206</v>
      </c>
      <c r="B40" s="28" t="n">
        <v>0.666666666666667</v>
      </c>
      <c r="C40" s="28" t="n">
        <v>0.729166666666667</v>
      </c>
      <c r="D40" s="16" t="s">
        <v>33</v>
      </c>
      <c r="E40" s="16" t="s">
        <v>35</v>
      </c>
      <c r="F40" s="16" t="s">
        <v>3</v>
      </c>
      <c r="G40" s="29" t="n">
        <f aca="false">IF(D40="","",IF(C40&gt;B40,C40-B40,C40-B40+1))</f>
        <v>0.0625</v>
      </c>
    </row>
    <row r="41" customFormat="false" ht="14.25" hidden="false" customHeight="false" outlineLevel="0" collapsed="false">
      <c r="A41" s="27"/>
      <c r="B41" s="28"/>
      <c r="C41" s="28"/>
      <c r="D41" s="16"/>
      <c r="E41" s="16"/>
      <c r="F41" s="16"/>
      <c r="G41" s="29" t="str">
        <f aca="false">IF(D41="","",IF(C41&gt;B41,C41-B41,C41-B41+1))</f>
        <v/>
      </c>
    </row>
    <row r="42" customFormat="false" ht="14.25" hidden="false" customHeight="false" outlineLevel="0" collapsed="false">
      <c r="A42" s="27"/>
      <c r="B42" s="28"/>
      <c r="C42" s="28"/>
      <c r="D42" s="16"/>
      <c r="E42" s="16"/>
      <c r="F42" s="16"/>
      <c r="G42" s="29" t="str">
        <f aca="false">IF(D42="","",IF(C42&gt;B42,C42-B42,C42-B42+1))</f>
        <v/>
      </c>
    </row>
    <row r="43" customFormat="false" ht="14.25" hidden="false" customHeight="false" outlineLevel="0" collapsed="false">
      <c r="A43" s="27"/>
      <c r="B43" s="28"/>
      <c r="C43" s="28"/>
      <c r="D43" s="16"/>
      <c r="E43" s="16"/>
      <c r="F43" s="16"/>
      <c r="G43" s="29" t="str">
        <f aca="false">IF(D43="","",IF(C43&gt;B43,C43-B43,C43-B43+1))</f>
        <v/>
      </c>
    </row>
    <row r="44" customFormat="false" ht="14.25" hidden="false" customHeight="false" outlineLevel="0" collapsed="false">
      <c r="A44" s="27"/>
      <c r="B44" s="28"/>
      <c r="C44" s="28"/>
      <c r="D44" s="16"/>
      <c r="E44" s="16"/>
      <c r="F44" s="16"/>
      <c r="G44" s="29" t="str">
        <f aca="false">IF(D44="","",IF(C44&gt;B44,C44-B44,C44-B44+1))</f>
        <v/>
      </c>
    </row>
    <row r="45" customFormat="false" ht="14.25" hidden="false" customHeight="false" outlineLevel="0" collapsed="false">
      <c r="A45" s="27"/>
      <c r="B45" s="28"/>
      <c r="C45" s="28"/>
      <c r="D45" s="16"/>
      <c r="E45" s="16"/>
      <c r="F45" s="16"/>
      <c r="G45" s="29" t="str">
        <f aca="false">IF(D45="","",IF(C45&gt;B45,C45-B45,C45-B45+1))</f>
        <v/>
      </c>
    </row>
    <row r="46" customFormat="false" ht="14.25" hidden="false" customHeight="false" outlineLevel="0" collapsed="false">
      <c r="A46" s="27"/>
      <c r="B46" s="28"/>
      <c r="C46" s="28"/>
      <c r="D46" s="16"/>
      <c r="E46" s="16"/>
      <c r="F46" s="16"/>
      <c r="G46" s="29" t="str">
        <f aca="false">IF(D46="","",IF(C46&gt;B46,C46-B46,C46-B46+1))</f>
        <v/>
      </c>
    </row>
    <row r="47" customFormat="false" ht="14.25" hidden="false" customHeight="false" outlineLevel="0" collapsed="false">
      <c r="A47" s="27"/>
      <c r="B47" s="28"/>
      <c r="C47" s="28"/>
      <c r="D47" s="16"/>
      <c r="E47" s="16"/>
      <c r="F47" s="16"/>
      <c r="G47" s="29" t="str">
        <f aca="false">IF(D47="","",IF(C47&gt;B47,C47-B47,C47-B47+1))</f>
        <v/>
      </c>
    </row>
    <row r="48" customFormat="false" ht="14.25" hidden="false" customHeight="false" outlineLevel="0" collapsed="false">
      <c r="A48" s="27"/>
      <c r="B48" s="28"/>
      <c r="C48" s="28"/>
      <c r="D48" s="16"/>
      <c r="E48" s="16"/>
      <c r="F48" s="16"/>
      <c r="G48" s="29" t="str">
        <f aca="false">IF(D48="","",IF(C48&gt;B48,C48-B48,C48-B48+1))</f>
        <v/>
      </c>
    </row>
    <row r="49" customFormat="false" ht="14.25" hidden="false" customHeight="false" outlineLevel="0" collapsed="false">
      <c r="A49" s="27"/>
      <c r="B49" s="28"/>
      <c r="C49" s="28"/>
      <c r="D49" s="16"/>
      <c r="E49" s="16"/>
      <c r="F49" s="16"/>
      <c r="G49" s="29" t="str">
        <f aca="false">IF(D49="","",IF(C49&gt;B49,C49-B49,C49-B49+1))</f>
        <v/>
      </c>
    </row>
    <row r="50" customFormat="false" ht="14.25" hidden="false" customHeight="false" outlineLevel="0" collapsed="false">
      <c r="A50" s="27"/>
      <c r="B50" s="28"/>
      <c r="C50" s="28"/>
      <c r="D50" s="16"/>
      <c r="E50" s="16"/>
      <c r="F50" s="16"/>
      <c r="G50" s="29" t="str">
        <f aca="false">IF(D50="","",IF(C50&gt;B50,C50-B50,C50-B50+1))</f>
        <v/>
      </c>
    </row>
    <row r="51" customFormat="false" ht="14.25" hidden="false" customHeight="false" outlineLevel="0" collapsed="false">
      <c r="A51" s="27"/>
      <c r="B51" s="28"/>
      <c r="C51" s="28"/>
      <c r="D51" s="16"/>
      <c r="E51" s="16"/>
      <c r="F51" s="16"/>
      <c r="G51" s="29" t="str">
        <f aca="false">IF(D51="","",IF(C51&gt;B51,C51-B51,C51-B51+1))</f>
        <v/>
      </c>
    </row>
    <row r="52" customFormat="false" ht="14.25" hidden="false" customHeight="false" outlineLevel="0" collapsed="false">
      <c r="A52" s="27"/>
      <c r="B52" s="28"/>
      <c r="C52" s="28"/>
      <c r="D52" s="16"/>
      <c r="E52" s="16"/>
      <c r="F52" s="16"/>
      <c r="G52" s="29" t="str">
        <f aca="false">IF(D52="","",IF(C52&gt;B52,C52-B52,C52-B52+1))</f>
        <v/>
      </c>
    </row>
    <row r="53" customFormat="false" ht="14.25" hidden="false" customHeight="false" outlineLevel="0" collapsed="false">
      <c r="A53" s="27"/>
      <c r="B53" s="28"/>
      <c r="C53" s="28"/>
      <c r="D53" s="16"/>
      <c r="E53" s="16"/>
      <c r="F53" s="16"/>
      <c r="G53" s="29" t="str">
        <f aca="false">IF(D53="","",IF(C53&gt;B53,C53-B53,C53-B53+1))</f>
        <v/>
      </c>
    </row>
    <row r="54" customFormat="false" ht="14.25" hidden="false" customHeight="false" outlineLevel="0" collapsed="false">
      <c r="A54" s="30"/>
      <c r="B54" s="28"/>
      <c r="C54" s="28"/>
      <c r="D54" s="16"/>
      <c r="E54" s="16"/>
      <c r="F54" s="16"/>
      <c r="G54" s="29" t="str">
        <f aca="false">IF(D54="","",IF(C54&gt;B54,C54-B54,C54-B54+1))</f>
        <v/>
      </c>
    </row>
    <row r="55" customFormat="false" ht="14.25" hidden="false" customHeight="false" outlineLevel="0" collapsed="false">
      <c r="A55" s="27"/>
      <c r="B55" s="28"/>
      <c r="C55" s="28"/>
      <c r="D55" s="16"/>
      <c r="E55" s="16"/>
      <c r="F55" s="16"/>
      <c r="G55" s="29" t="str">
        <f aca="false">IF(D55="","",IF(C55&gt;B55,C55-B55,C55-B55+1))</f>
        <v/>
      </c>
    </row>
    <row r="56" customFormat="false" ht="14.25" hidden="false" customHeight="false" outlineLevel="0" collapsed="false">
      <c r="A56" s="27"/>
      <c r="B56" s="28"/>
      <c r="C56" s="28"/>
      <c r="D56" s="16"/>
      <c r="E56" s="16"/>
      <c r="F56" s="16"/>
      <c r="G56" s="29" t="str">
        <f aca="false">IF(D56="","",IF(C56&gt;B56,C56-B56,C56-B56+1))</f>
        <v/>
      </c>
    </row>
    <row r="57" customFormat="false" ht="14.25" hidden="false" customHeight="false" outlineLevel="0" collapsed="false">
      <c r="A57" s="27"/>
      <c r="B57" s="28"/>
      <c r="C57" s="28"/>
      <c r="D57" s="16"/>
      <c r="E57" s="16"/>
      <c r="F57" s="16"/>
      <c r="G57" s="29" t="str">
        <f aca="false">IF(D57="","",IF(C57&gt;B57,C57-B57,C57-B57+1))</f>
        <v/>
      </c>
    </row>
    <row r="58" customFormat="false" ht="14.25" hidden="false" customHeight="false" outlineLevel="0" collapsed="false">
      <c r="A58" s="27"/>
      <c r="B58" s="28"/>
      <c r="C58" s="28"/>
      <c r="D58" s="16"/>
      <c r="E58" s="16"/>
      <c r="F58" s="16"/>
      <c r="G58" s="29" t="str">
        <f aca="false">IF(D58="","",IF(C58&gt;B58,C58-B58,C58-B58+1))</f>
        <v/>
      </c>
    </row>
    <row r="59" customFormat="false" ht="14.25" hidden="false" customHeight="false" outlineLevel="0" collapsed="false">
      <c r="A59" s="27"/>
      <c r="B59" s="28"/>
      <c r="C59" s="28"/>
      <c r="D59" s="16"/>
      <c r="E59" s="16"/>
      <c r="F59" s="16"/>
      <c r="G59" s="29" t="str">
        <f aca="false">IF(D59="","",IF(C59&gt;B59,C59-B59,C59-B59+1))</f>
        <v/>
      </c>
    </row>
    <row r="60" customFormat="false" ht="14.25" hidden="false" customHeight="false" outlineLevel="0" collapsed="false">
      <c r="A60" s="27"/>
      <c r="B60" s="28"/>
      <c r="C60" s="28"/>
      <c r="D60" s="16"/>
      <c r="E60" s="16"/>
      <c r="F60" s="16"/>
      <c r="G60" s="29" t="str">
        <f aca="false">IF(D60="","",IF(C60&gt;B60,C60-B60,C60-B60+1))</f>
        <v/>
      </c>
    </row>
    <row r="61" customFormat="false" ht="14.25" hidden="false" customHeight="false" outlineLevel="0" collapsed="false">
      <c r="A61" s="27"/>
      <c r="B61" s="28"/>
      <c r="C61" s="28"/>
      <c r="D61" s="16"/>
      <c r="E61" s="16"/>
      <c r="F61" s="16"/>
      <c r="G61" s="29" t="str">
        <f aca="false">IF(D61="","",IF(C61&gt;B61,C61-B61,C61-B61+1))</f>
        <v/>
      </c>
    </row>
    <row r="62" customFormat="false" ht="14.25" hidden="false" customHeight="false" outlineLevel="0" collapsed="false">
      <c r="A62" s="27"/>
      <c r="B62" s="28"/>
      <c r="C62" s="28"/>
      <c r="D62" s="16"/>
      <c r="E62" s="16"/>
      <c r="F62" s="16"/>
      <c r="G62" s="29" t="str">
        <f aca="false">IF(D62="","",IF(C62&gt;B62,C62-B62,C62-B62+1))</f>
        <v/>
      </c>
    </row>
    <row r="63" customFormat="false" ht="14.25" hidden="false" customHeight="false" outlineLevel="0" collapsed="false">
      <c r="A63" s="27"/>
      <c r="B63" s="28"/>
      <c r="C63" s="28"/>
      <c r="D63" s="16"/>
      <c r="E63" s="16"/>
      <c r="F63" s="16"/>
      <c r="G63" s="29" t="str">
        <f aca="false">IF(D63="","",IF(C63&gt;B63,C63-B63,C63-B63+1))</f>
        <v/>
      </c>
    </row>
    <row r="64" customFormat="false" ht="14.25" hidden="false" customHeight="false" outlineLevel="0" collapsed="false">
      <c r="A64" s="27"/>
      <c r="B64" s="28"/>
      <c r="C64" s="28"/>
      <c r="D64" s="16"/>
      <c r="E64" s="16"/>
      <c r="F64" s="16"/>
      <c r="G64" s="29" t="str">
        <f aca="false">IF(D64="","",IF(C64&gt;B64,C64-B64,C64-B64+1))</f>
        <v/>
      </c>
    </row>
    <row r="65" customFormat="false" ht="14.25" hidden="false" customHeight="false" outlineLevel="0" collapsed="false">
      <c r="A65" s="27"/>
      <c r="B65" s="28"/>
      <c r="C65" s="28"/>
      <c r="D65" s="16"/>
      <c r="E65" s="16"/>
      <c r="F65" s="16"/>
      <c r="G65" s="29" t="str">
        <f aca="false">IF(D65="","",IF(C65&gt;B65,C65-B65,C65-B65+1))</f>
        <v/>
      </c>
    </row>
    <row r="66" customFormat="false" ht="14.25" hidden="false" customHeight="false" outlineLevel="0" collapsed="false">
      <c r="A66" s="27"/>
      <c r="B66" s="28"/>
      <c r="C66" s="28"/>
      <c r="D66" s="16"/>
      <c r="E66" s="16"/>
      <c r="F66" s="16"/>
      <c r="G66" s="29" t="str">
        <f aca="false">IF(D66="","",IF(C66&gt;B66,C66-B66,C66-B66+1))</f>
        <v/>
      </c>
    </row>
    <row r="67" customFormat="false" ht="14.25" hidden="false" customHeight="false" outlineLevel="0" collapsed="false">
      <c r="A67" s="27"/>
      <c r="B67" s="28"/>
      <c r="C67" s="28"/>
      <c r="D67" s="16"/>
      <c r="E67" s="16"/>
      <c r="F67" s="16"/>
      <c r="G67" s="29" t="str">
        <f aca="false">IF(D67="","",IF(C67&gt;B67,C67-B67,C67-B67+1))</f>
        <v/>
      </c>
    </row>
    <row r="68" customFormat="false" ht="14.25" hidden="false" customHeight="false" outlineLevel="0" collapsed="false">
      <c r="A68" s="27"/>
      <c r="B68" s="28"/>
      <c r="C68" s="28"/>
      <c r="D68" s="16"/>
      <c r="E68" s="16"/>
      <c r="F68" s="16"/>
      <c r="G68" s="29" t="str">
        <f aca="false">IF(D68="","",IF(C68&gt;B68,C68-B68,C68-B68+1))</f>
        <v/>
      </c>
    </row>
    <row r="69" customFormat="false" ht="14.25" hidden="false" customHeight="false" outlineLevel="0" collapsed="false">
      <c r="A69" s="27"/>
      <c r="B69" s="28"/>
      <c r="C69" s="28"/>
      <c r="D69" s="16"/>
      <c r="E69" s="16"/>
      <c r="F69" s="16"/>
      <c r="G69" s="29" t="str">
        <f aca="false">IF(D69="","",IF(C69&gt;B69,C69-B69,C69-B69+1))</f>
        <v/>
      </c>
    </row>
    <row r="70" customFormat="false" ht="14.25" hidden="false" customHeight="false" outlineLevel="0" collapsed="false">
      <c r="A70" s="27"/>
      <c r="B70" s="28"/>
      <c r="C70" s="28"/>
      <c r="D70" s="16"/>
      <c r="E70" s="16"/>
      <c r="F70" s="16"/>
      <c r="G70" s="29" t="str">
        <f aca="false">IF(D70="","",IF(C70&gt;B70,C70-B70,C70-B70+1))</f>
        <v/>
      </c>
    </row>
    <row r="71" customFormat="false" ht="14.25" hidden="false" customHeight="false" outlineLevel="0" collapsed="false">
      <c r="A71" s="27"/>
      <c r="B71" s="28"/>
      <c r="C71" s="28"/>
      <c r="D71" s="16"/>
      <c r="E71" s="16"/>
      <c r="F71" s="16"/>
      <c r="G71" s="29" t="str">
        <f aca="false">IF(D71="","",IF(C71&gt;B71,C71-B71,C71-B71+1))</f>
        <v/>
      </c>
    </row>
    <row r="72" customFormat="false" ht="14.25" hidden="false" customHeight="false" outlineLevel="0" collapsed="false">
      <c r="A72" s="27"/>
      <c r="B72" s="28"/>
      <c r="C72" s="28"/>
      <c r="D72" s="16"/>
      <c r="E72" s="16"/>
      <c r="F72" s="16"/>
      <c r="G72" s="29" t="str">
        <f aca="false">IF(D72="","",IF(C72&gt;B72,C72-B72,C72-B72+1))</f>
        <v/>
      </c>
    </row>
    <row r="73" customFormat="false" ht="14.25" hidden="false" customHeight="false" outlineLevel="0" collapsed="false">
      <c r="A73" s="27"/>
      <c r="B73" s="28"/>
      <c r="C73" s="28"/>
      <c r="D73" s="16"/>
      <c r="E73" s="16"/>
      <c r="F73" s="16"/>
      <c r="G73" s="29" t="str">
        <f aca="false">IF(D73="","",IF(C73&gt;B73,C73-B73,C73-B73+1))</f>
        <v/>
      </c>
    </row>
    <row r="74" customFormat="false" ht="14.25" hidden="false" customHeight="false" outlineLevel="0" collapsed="false">
      <c r="A74" s="27"/>
      <c r="B74" s="28"/>
      <c r="C74" s="28"/>
      <c r="D74" s="16"/>
      <c r="E74" s="16"/>
      <c r="F74" s="16"/>
      <c r="G74" s="29" t="str">
        <f aca="false">IF(D74="","",IF(C74&gt;B74,C74-B74,C74-B74+1))</f>
        <v/>
      </c>
    </row>
    <row r="75" customFormat="false" ht="14.25" hidden="false" customHeight="false" outlineLevel="0" collapsed="false">
      <c r="A75" s="27"/>
      <c r="B75" s="28"/>
      <c r="C75" s="28"/>
      <c r="D75" s="16"/>
      <c r="E75" s="16"/>
      <c r="F75" s="16"/>
      <c r="G75" s="29" t="str">
        <f aca="false">IF(D75="","",IF(C75&gt;B75,C75-B75,C75-B75+1))</f>
        <v/>
      </c>
    </row>
    <row r="76" customFormat="false" ht="14.25" hidden="false" customHeight="false" outlineLevel="0" collapsed="false">
      <c r="A76" s="27"/>
      <c r="B76" s="28"/>
      <c r="C76" s="28"/>
      <c r="D76" s="16"/>
      <c r="E76" s="16"/>
      <c r="F76" s="16"/>
      <c r="G76" s="29" t="str">
        <f aca="false">IF(D76="","",IF(C76&gt;B76,C76-B76,C76-B76+1))</f>
        <v/>
      </c>
    </row>
    <row r="77" customFormat="false" ht="14.25" hidden="false" customHeight="false" outlineLevel="0" collapsed="false">
      <c r="A77" s="27"/>
      <c r="B77" s="28"/>
      <c r="C77" s="28"/>
      <c r="D77" s="16"/>
      <c r="E77" s="16"/>
      <c r="F77" s="16"/>
      <c r="G77" s="29" t="str">
        <f aca="false">IF(D77="","",IF(C77&gt;B77,C77-B77,C77-B77+1))</f>
        <v/>
      </c>
    </row>
    <row r="78" customFormat="false" ht="14.25" hidden="false" customHeight="false" outlineLevel="0" collapsed="false">
      <c r="A78" s="27"/>
      <c r="B78" s="28"/>
      <c r="C78" s="28"/>
      <c r="D78" s="16"/>
      <c r="E78" s="16"/>
      <c r="F78" s="16"/>
      <c r="G78" s="29" t="str">
        <f aca="false">IF(D78="","",IF(C78&gt;B78,C78-B78,C78-B78+1))</f>
        <v/>
      </c>
    </row>
    <row r="79" customFormat="false" ht="14.25" hidden="false" customHeight="false" outlineLevel="0" collapsed="false">
      <c r="A79" s="27"/>
      <c r="B79" s="28"/>
      <c r="C79" s="28"/>
      <c r="D79" s="16"/>
      <c r="E79" s="16"/>
      <c r="F79" s="16"/>
      <c r="G79" s="29" t="str">
        <f aca="false">IF(D79="","",IF(C79&gt;B79,C79-B79,C79-B79+1))</f>
        <v/>
      </c>
    </row>
    <row r="80" customFormat="false" ht="14.25" hidden="false" customHeight="false" outlineLevel="0" collapsed="false">
      <c r="A80" s="30"/>
      <c r="B80" s="28"/>
      <c r="C80" s="28"/>
      <c r="D80" s="16"/>
      <c r="E80" s="16"/>
      <c r="F80" s="16"/>
      <c r="G80" s="29" t="str">
        <f aca="false">IF(D80="","",IF(C80&gt;B80,C80-B80,C80-B80+1))</f>
        <v/>
      </c>
    </row>
    <row r="81" customFormat="false" ht="14.25" hidden="false" customHeight="false" outlineLevel="0" collapsed="false">
      <c r="A81" s="30"/>
      <c r="B81" s="28"/>
      <c r="C81" s="28"/>
      <c r="D81" s="16"/>
      <c r="E81" s="16"/>
      <c r="F81" s="16"/>
      <c r="G81" s="29" t="str">
        <f aca="false">IF(D81="","",IF(C81&gt;B81,C81-B81,C81-B81+1))</f>
        <v/>
      </c>
    </row>
    <row r="82" customFormat="false" ht="14.25" hidden="false" customHeight="false" outlineLevel="0" collapsed="false">
      <c r="A82" s="30"/>
      <c r="B82" s="28"/>
      <c r="C82" s="28"/>
      <c r="D82" s="16"/>
      <c r="E82" s="16"/>
      <c r="F82" s="16"/>
      <c r="G82" s="29" t="str">
        <f aca="false">IF(D82="","",IF(C82&gt;B82,C82-B82,C82-B82+1))</f>
        <v/>
      </c>
    </row>
    <row r="83" customFormat="false" ht="14.25" hidden="false" customHeight="false" outlineLevel="0" collapsed="false">
      <c r="A83" s="27"/>
      <c r="B83" s="28"/>
      <c r="C83" s="28"/>
      <c r="D83" s="16"/>
      <c r="E83" s="16"/>
      <c r="F83" s="16"/>
      <c r="G83" s="29" t="str">
        <f aca="false">IF(D83="","",IF(C83&gt;B83,C83-B83,C83-B83+1))</f>
        <v/>
      </c>
    </row>
    <row r="84" customFormat="false" ht="14.25" hidden="false" customHeight="false" outlineLevel="0" collapsed="false">
      <c r="A84" s="30"/>
      <c r="B84" s="28"/>
      <c r="C84" s="28"/>
      <c r="D84" s="16"/>
      <c r="E84" s="16"/>
      <c r="F84" s="16"/>
      <c r="G84" s="29" t="str">
        <f aca="false">IF(D84="","",IF(C84&gt;B84,C84-B84,C84-B84+1))</f>
        <v/>
      </c>
    </row>
    <row r="85" customFormat="false" ht="14.25" hidden="false" customHeight="false" outlineLevel="0" collapsed="false">
      <c r="A85" s="27"/>
      <c r="B85" s="28"/>
      <c r="C85" s="28"/>
      <c r="D85" s="16"/>
      <c r="E85" s="16"/>
      <c r="F85" s="16"/>
      <c r="G85" s="29" t="str">
        <f aca="false">IF(D85="","",IF(C85&gt;B85,C85-B85,C85-B85+1))</f>
        <v/>
      </c>
    </row>
    <row r="86" customFormat="false" ht="14.25" hidden="false" customHeight="false" outlineLevel="0" collapsed="false">
      <c r="A86" s="27"/>
      <c r="B86" s="28"/>
      <c r="C86" s="28"/>
      <c r="D86" s="16"/>
      <c r="E86" s="16"/>
      <c r="F86" s="16"/>
      <c r="G86" s="29" t="str">
        <f aca="false">IF(D86="","",IF(C86&gt;B86,C86-B86,C86-B86+1))</f>
        <v/>
      </c>
    </row>
    <row r="87" customFormat="false" ht="14.25" hidden="false" customHeight="false" outlineLevel="0" collapsed="false">
      <c r="A87" s="27"/>
      <c r="B87" s="28"/>
      <c r="C87" s="28"/>
      <c r="D87" s="16"/>
      <c r="E87" s="16"/>
      <c r="F87" s="16"/>
      <c r="G87" s="29" t="str">
        <f aca="false">IF(D87="","",IF(C87&gt;B87,C87-B87,C87-B87+1))</f>
        <v/>
      </c>
    </row>
    <row r="88" customFormat="false" ht="14.25" hidden="false" customHeight="false" outlineLevel="0" collapsed="false">
      <c r="A88" s="27"/>
      <c r="B88" s="28"/>
      <c r="C88" s="28"/>
      <c r="D88" s="16"/>
      <c r="E88" s="16"/>
      <c r="F88" s="16"/>
      <c r="G88" s="29" t="str">
        <f aca="false">IF(D88="","",IF(C88&gt;B88,C88-B88,C88-B88+1))</f>
        <v/>
      </c>
    </row>
    <row r="89" customFormat="false" ht="14.25" hidden="false" customHeight="false" outlineLevel="0" collapsed="false">
      <c r="A89" s="27"/>
      <c r="B89" s="28"/>
      <c r="C89" s="28"/>
      <c r="D89" s="16"/>
      <c r="E89" s="16"/>
      <c r="F89" s="16"/>
      <c r="G89" s="29" t="str">
        <f aca="false">IF(D89="","",IF(C89&gt;B89,C89-B89,C89-B89+1))</f>
        <v/>
      </c>
    </row>
    <row r="90" customFormat="false" ht="14.25" hidden="false" customHeight="false" outlineLevel="0" collapsed="false">
      <c r="A90" s="27"/>
      <c r="B90" s="28"/>
      <c r="C90" s="28"/>
      <c r="D90" s="16"/>
      <c r="E90" s="16"/>
      <c r="F90" s="16"/>
      <c r="G90" s="29" t="str">
        <f aca="false">IF(D90="","",IF(C90&gt;B90,C90-B90,C90-B90+1))</f>
        <v/>
      </c>
    </row>
    <row r="91" customFormat="false" ht="14.25" hidden="false" customHeight="false" outlineLevel="0" collapsed="false">
      <c r="A91" s="27"/>
      <c r="B91" s="28"/>
      <c r="C91" s="28"/>
      <c r="D91" s="16"/>
      <c r="E91" s="16"/>
      <c r="F91" s="16"/>
      <c r="G91" s="29" t="str">
        <f aca="false">IF(D91="","",IF(C91&gt;B91,C91-B91,C91-B91+1))</f>
        <v/>
      </c>
    </row>
    <row r="92" customFormat="false" ht="14.25" hidden="false" customHeight="false" outlineLevel="0" collapsed="false">
      <c r="A92" s="27"/>
      <c r="B92" s="28"/>
      <c r="C92" s="28"/>
      <c r="D92" s="16"/>
      <c r="E92" s="16"/>
      <c r="F92" s="16"/>
      <c r="G92" s="29" t="str">
        <f aca="false">IF(D92="","",IF(C92&gt;B92,C92-B92,C92-B92+1))</f>
        <v/>
      </c>
    </row>
    <row r="93" customFormat="false" ht="14.25" hidden="false" customHeight="false" outlineLevel="0" collapsed="false">
      <c r="A93" s="27"/>
      <c r="B93" s="28"/>
      <c r="C93" s="28"/>
      <c r="D93" s="16"/>
      <c r="E93" s="16"/>
      <c r="F93" s="16"/>
      <c r="G93" s="29" t="str">
        <f aca="false">IF(D93="","",IF(C93&gt;B93,C93-B93,C93-B93+1))</f>
        <v/>
      </c>
    </row>
    <row r="94" customFormat="false" ht="14.25" hidden="false" customHeight="false" outlineLevel="0" collapsed="false">
      <c r="A94" s="27"/>
      <c r="B94" s="28"/>
      <c r="C94" s="28"/>
      <c r="D94" s="16"/>
      <c r="E94" s="16"/>
      <c r="F94" s="16"/>
      <c r="G94" s="29" t="str">
        <f aca="false">IF(D94="","",IF(C94&gt;B94,C94-B94,C94-B94+1))</f>
        <v/>
      </c>
    </row>
    <row r="95" customFormat="false" ht="14.25" hidden="false" customHeight="false" outlineLevel="0" collapsed="false">
      <c r="A95" s="27"/>
      <c r="B95" s="28"/>
      <c r="C95" s="28"/>
      <c r="D95" s="16"/>
      <c r="E95" s="16"/>
      <c r="F95" s="16"/>
      <c r="G95" s="29" t="str">
        <f aca="false">IF(D95="","",IF(C95&gt;B95,C95-B95,C95-B95+1))</f>
        <v/>
      </c>
    </row>
    <row r="96" customFormat="false" ht="14.25" hidden="false" customHeight="false" outlineLevel="0" collapsed="false">
      <c r="A96" s="27"/>
      <c r="B96" s="28"/>
      <c r="C96" s="28"/>
      <c r="D96" s="16"/>
      <c r="E96" s="16"/>
      <c r="F96" s="16"/>
      <c r="G96" s="29" t="str">
        <f aca="false">IF(D96="","",IF(C96&gt;B96,C96-B96,C96-B96+1))</f>
        <v/>
      </c>
    </row>
    <row r="97" customFormat="false" ht="14.25" hidden="false" customHeight="false" outlineLevel="0" collapsed="false">
      <c r="A97" s="27"/>
      <c r="B97" s="28"/>
      <c r="C97" s="28"/>
      <c r="D97" s="16"/>
      <c r="E97" s="16"/>
      <c r="F97" s="16"/>
      <c r="G97" s="29" t="str">
        <f aca="false">IF(D97="","",IF(C97&gt;B97,C97-B97,C97-B97+1))</f>
        <v/>
      </c>
    </row>
    <row r="98" customFormat="false" ht="14.25" hidden="false" customHeight="false" outlineLevel="0" collapsed="false">
      <c r="A98" s="27"/>
      <c r="B98" s="28"/>
      <c r="C98" s="28"/>
      <c r="D98" s="16"/>
      <c r="E98" s="16"/>
      <c r="F98" s="16"/>
      <c r="G98" s="29" t="str">
        <f aca="false">IF(D98="","",IF(C98&gt;B98,C98-B98,C98-B98+1))</f>
        <v/>
      </c>
    </row>
    <row r="99" customFormat="false" ht="14.25" hidden="false" customHeight="false" outlineLevel="0" collapsed="false">
      <c r="A99" s="27"/>
      <c r="B99" s="28"/>
      <c r="C99" s="28"/>
      <c r="D99" s="16"/>
      <c r="E99" s="16"/>
      <c r="F99" s="16"/>
      <c r="G99" s="29" t="str">
        <f aca="false">IF(D99="","",IF(C99&gt;B99,C99-B99,C99-B99+1))</f>
        <v/>
      </c>
    </row>
    <row r="100" customFormat="false" ht="14.25" hidden="false" customHeight="false" outlineLevel="0" collapsed="false">
      <c r="A100" s="27"/>
      <c r="B100" s="28"/>
      <c r="C100" s="28"/>
      <c r="D100" s="16"/>
      <c r="E100" s="16"/>
      <c r="F100" s="16"/>
      <c r="G100" s="29" t="str">
        <f aca="false">IF(D100="","",IF(C100&gt;B100,C100-B100,C100-B100+1))</f>
        <v/>
      </c>
    </row>
    <row r="101" customFormat="false" ht="14.25" hidden="false" customHeight="false" outlineLevel="0" collapsed="false">
      <c r="A101" s="27"/>
      <c r="B101" s="28"/>
      <c r="C101" s="28"/>
      <c r="D101" s="16"/>
      <c r="E101" s="16"/>
      <c r="F101" s="16"/>
      <c r="G101" s="29" t="str">
        <f aca="false">IF(D101="","",IF(C101&gt;B101,C101-B101,C101-B101+1))</f>
        <v/>
      </c>
    </row>
    <row r="102" customFormat="false" ht="14.25" hidden="false" customHeight="false" outlineLevel="0" collapsed="false">
      <c r="A102" s="27"/>
      <c r="B102" s="28"/>
      <c r="C102" s="28"/>
      <c r="D102" s="16"/>
      <c r="E102" s="16"/>
      <c r="F102" s="16"/>
      <c r="G102" s="29" t="str">
        <f aca="false">IF(D102="","",IF(C102&gt;B102,C102-B102,C102-B102+1))</f>
        <v/>
      </c>
    </row>
    <row r="103" customFormat="false" ht="14.25" hidden="false" customHeight="false" outlineLevel="0" collapsed="false">
      <c r="A103" s="27"/>
      <c r="B103" s="28"/>
      <c r="C103" s="28"/>
      <c r="D103" s="16"/>
      <c r="E103" s="16"/>
      <c r="F103" s="16"/>
      <c r="G103" s="29" t="str">
        <f aca="false">IF(D103="","",IF(C103&gt;B103,C103-B103,C103-B103+1))</f>
        <v/>
      </c>
    </row>
    <row r="104" customFormat="false" ht="14.25" hidden="false" customHeight="false" outlineLevel="0" collapsed="false">
      <c r="A104" s="27"/>
      <c r="B104" s="28"/>
      <c r="C104" s="28"/>
      <c r="D104" s="16"/>
      <c r="E104" s="16"/>
      <c r="F104" s="16"/>
      <c r="G104" s="29" t="str">
        <f aca="false">IF(D104="","",IF(C104&gt;B104,C104-B104,C104-B104+1))</f>
        <v/>
      </c>
    </row>
    <row r="105" customFormat="false" ht="14.25" hidden="false" customHeight="false" outlineLevel="0" collapsed="false">
      <c r="A105" s="27"/>
      <c r="B105" s="28"/>
      <c r="C105" s="28"/>
      <c r="D105" s="16"/>
      <c r="E105" s="16"/>
      <c r="F105" s="16"/>
      <c r="G105" s="29" t="str">
        <f aca="false">IF(D105="","",IF(C105&gt;B105,C105-B105,C105-B105+1))</f>
        <v/>
      </c>
    </row>
    <row r="106" customFormat="false" ht="14.25" hidden="false" customHeight="false" outlineLevel="0" collapsed="false">
      <c r="A106" s="27"/>
      <c r="B106" s="28"/>
      <c r="C106" s="28"/>
      <c r="D106" s="16"/>
      <c r="E106" s="16"/>
      <c r="F106" s="16"/>
      <c r="G106" s="29" t="str">
        <f aca="false">IF(D106="","",IF(C106&gt;B106,C106-B106,C106-B106+1))</f>
        <v/>
      </c>
    </row>
    <row r="107" customFormat="false" ht="14.25" hidden="false" customHeight="false" outlineLevel="0" collapsed="false">
      <c r="A107" s="27"/>
      <c r="B107" s="28"/>
      <c r="C107" s="28"/>
      <c r="D107" s="16"/>
      <c r="E107" s="16"/>
      <c r="F107" s="16"/>
      <c r="G107" s="29" t="str">
        <f aca="false">IF(D107="","",IF(C107&gt;B107,C107-B107,C107-B107+1))</f>
        <v/>
      </c>
    </row>
    <row r="108" customFormat="false" ht="14.25" hidden="false" customHeight="false" outlineLevel="0" collapsed="false">
      <c r="A108" s="27"/>
      <c r="B108" s="28"/>
      <c r="C108" s="28"/>
      <c r="D108" s="16"/>
      <c r="E108" s="16"/>
      <c r="F108" s="16"/>
      <c r="G108" s="29" t="str">
        <f aca="false">IF(D108="","",IF(C108&gt;B108,C108-B108,C108-B108+1))</f>
        <v/>
      </c>
    </row>
    <row r="109" customFormat="false" ht="14.25" hidden="false" customHeight="false" outlineLevel="0" collapsed="false">
      <c r="A109" s="27"/>
      <c r="B109" s="28"/>
      <c r="C109" s="28"/>
      <c r="D109" s="16"/>
      <c r="E109" s="16"/>
      <c r="F109" s="16"/>
      <c r="G109" s="29" t="str">
        <f aca="false">IF(D109="","",IF(C109&gt;B109,C109-B109,C109-B109+1))</f>
        <v/>
      </c>
    </row>
    <row r="110" customFormat="false" ht="14.25" hidden="false" customHeight="false" outlineLevel="0" collapsed="false">
      <c r="A110" s="27"/>
      <c r="B110" s="28"/>
      <c r="C110" s="28"/>
      <c r="D110" s="16"/>
      <c r="E110" s="16"/>
      <c r="F110" s="16"/>
      <c r="G110" s="29" t="str">
        <f aca="false">IF(D110="","",IF(C110&gt;B110,C110-B110,C110-B110+1))</f>
        <v/>
      </c>
    </row>
    <row r="111" customFormat="false" ht="14.25" hidden="false" customHeight="false" outlineLevel="0" collapsed="false">
      <c r="A111" s="27"/>
      <c r="B111" s="28"/>
      <c r="C111" s="28"/>
      <c r="D111" s="16"/>
      <c r="E111" s="16"/>
      <c r="F111" s="16"/>
      <c r="G111" s="29" t="str">
        <f aca="false">IF(D111="","",IF(C111&gt;B111,C111-B111,C111-B111+1))</f>
        <v/>
      </c>
    </row>
    <row r="112" customFormat="false" ht="14.25" hidden="false" customHeight="false" outlineLevel="0" collapsed="false">
      <c r="A112" s="27"/>
      <c r="B112" s="28"/>
      <c r="C112" s="28"/>
      <c r="D112" s="16"/>
      <c r="E112" s="16"/>
      <c r="F112" s="16"/>
      <c r="G112" s="29" t="str">
        <f aca="false">IF(D112="","",IF(C112&gt;B112,C112-B112,C112-B112+1))</f>
        <v/>
      </c>
    </row>
    <row r="113" customFormat="false" ht="14.25" hidden="false" customHeight="false" outlineLevel="0" collapsed="false">
      <c r="A113" s="27"/>
      <c r="B113" s="28"/>
      <c r="C113" s="28"/>
      <c r="D113" s="16"/>
      <c r="E113" s="16"/>
      <c r="F113" s="16"/>
      <c r="G113" s="29" t="str">
        <f aca="false">IF(D113="","",IF(C113&gt;B113,C113-B113,C113-B113+1))</f>
        <v/>
      </c>
    </row>
    <row r="114" customFormat="false" ht="14.25" hidden="false" customHeight="false" outlineLevel="0" collapsed="false">
      <c r="A114" s="27"/>
      <c r="B114" s="28"/>
      <c r="C114" s="28"/>
      <c r="D114" s="16"/>
      <c r="E114" s="16"/>
      <c r="F114" s="16"/>
      <c r="G114" s="29" t="str">
        <f aca="false">IF(D114="","",IF(C114&gt;B114,C114-B114,C114-B114+1))</f>
        <v/>
      </c>
    </row>
    <row r="115" customFormat="false" ht="14.25" hidden="false" customHeight="false" outlineLevel="0" collapsed="false">
      <c r="A115" s="27"/>
      <c r="B115" s="28"/>
      <c r="C115" s="28"/>
      <c r="D115" s="16"/>
      <c r="E115" s="16"/>
      <c r="F115" s="16"/>
      <c r="G115" s="29" t="str">
        <f aca="false">IF(D115="","",IF(C115&gt;B115,C115-B115,C115-B115+1))</f>
        <v/>
      </c>
    </row>
    <row r="116" customFormat="false" ht="14.25" hidden="false" customHeight="false" outlineLevel="0" collapsed="false">
      <c r="A116" s="27"/>
      <c r="B116" s="28"/>
      <c r="C116" s="28"/>
      <c r="D116" s="16"/>
      <c r="E116" s="16"/>
      <c r="F116" s="16"/>
      <c r="G116" s="29" t="str">
        <f aca="false">IF(D116="","",IF(C116&gt;B116,C116-B116,C116-B116+1))</f>
        <v/>
      </c>
    </row>
    <row r="117" customFormat="false" ht="14.25" hidden="false" customHeight="false" outlineLevel="0" collapsed="false">
      <c r="A117" s="27"/>
      <c r="B117" s="28"/>
      <c r="C117" s="28"/>
      <c r="D117" s="16"/>
      <c r="E117" s="16"/>
      <c r="F117" s="16"/>
      <c r="G117" s="29" t="str">
        <f aca="false">IF(D117="","",IF(C117&gt;B117,C117-B117,C117-B117+1))</f>
        <v/>
      </c>
    </row>
    <row r="118" customFormat="false" ht="14.25" hidden="false" customHeight="false" outlineLevel="0" collapsed="false">
      <c r="A118" s="27"/>
      <c r="B118" s="28"/>
      <c r="C118" s="28"/>
      <c r="D118" s="16"/>
      <c r="E118" s="16"/>
      <c r="F118" s="16"/>
      <c r="G118" s="29" t="str">
        <f aca="false">IF(D118="","",IF(C118&gt;B118,C118-B118,C118-B118+1))</f>
        <v/>
      </c>
    </row>
    <row r="119" customFormat="false" ht="14.25" hidden="false" customHeight="false" outlineLevel="0" collapsed="false">
      <c r="A119" s="27"/>
      <c r="B119" s="28"/>
      <c r="C119" s="28"/>
      <c r="D119" s="16"/>
      <c r="E119" s="16"/>
      <c r="F119" s="16"/>
      <c r="G119" s="29" t="str">
        <f aca="false">IF(D119="","",IF(C119&gt;B119,C119-B119,C119-B119+1))</f>
        <v/>
      </c>
    </row>
    <row r="120" customFormat="false" ht="14.25" hidden="false" customHeight="false" outlineLevel="0" collapsed="false">
      <c r="A120" s="27"/>
      <c r="B120" s="28"/>
      <c r="C120" s="28"/>
      <c r="D120" s="16"/>
      <c r="E120" s="16"/>
      <c r="F120" s="16"/>
      <c r="G120" s="29" t="str">
        <f aca="false">IF(D120="","",IF(C120&gt;B120,C120-B120,C120-B120+1))</f>
        <v/>
      </c>
    </row>
    <row r="121" customFormat="false" ht="14.25" hidden="false" customHeight="false" outlineLevel="0" collapsed="false">
      <c r="A121" s="27"/>
      <c r="B121" s="28"/>
      <c r="C121" s="28"/>
      <c r="D121" s="16"/>
      <c r="E121" s="16"/>
      <c r="F121" s="16"/>
      <c r="G121" s="29" t="str">
        <f aca="false">IF(D121="","",IF(C121&gt;B121,C121-B121,C121-B121+1))</f>
        <v/>
      </c>
    </row>
    <row r="122" customFormat="false" ht="14.25" hidden="false" customHeight="false" outlineLevel="0" collapsed="false">
      <c r="A122" s="27"/>
      <c r="B122" s="28"/>
      <c r="C122" s="28"/>
      <c r="D122" s="16"/>
      <c r="E122" s="16"/>
      <c r="F122" s="16"/>
      <c r="G122" s="29" t="str">
        <f aca="false">IF(D122="","",IF(C122&gt;B122,C122-B122,C122-B122+1))</f>
        <v/>
      </c>
    </row>
    <row r="123" customFormat="false" ht="14.25" hidden="false" customHeight="false" outlineLevel="0" collapsed="false">
      <c r="A123" s="27"/>
      <c r="B123" s="28"/>
      <c r="C123" s="28"/>
      <c r="D123" s="16"/>
      <c r="E123" s="16"/>
      <c r="F123" s="16"/>
      <c r="G123" s="29" t="str">
        <f aca="false">IF(D123="","",IF(C123&gt;B123,C123-B123,C123-B123+1))</f>
        <v/>
      </c>
    </row>
    <row r="124" customFormat="false" ht="14.25" hidden="false" customHeight="false" outlineLevel="0" collapsed="false">
      <c r="A124" s="27"/>
      <c r="B124" s="28"/>
      <c r="C124" s="28"/>
      <c r="D124" s="16"/>
      <c r="E124" s="16"/>
      <c r="F124" s="16"/>
      <c r="G124" s="29" t="str">
        <f aca="false">IF(D124="","",IF(C124&gt;B124,C124-B124,C124-B124+1))</f>
        <v/>
      </c>
    </row>
    <row r="125" customFormat="false" ht="14.25" hidden="false" customHeight="false" outlineLevel="0" collapsed="false">
      <c r="A125" s="27"/>
      <c r="B125" s="28"/>
      <c r="C125" s="28"/>
      <c r="D125" s="16"/>
      <c r="E125" s="16"/>
      <c r="F125" s="16"/>
      <c r="G125" s="29" t="str">
        <f aca="false">IF(D125="","",IF(C125&gt;B125,C125-B125,C125-B125+1))</f>
        <v/>
      </c>
    </row>
    <row r="126" customFormat="false" ht="14.25" hidden="false" customHeight="false" outlineLevel="0" collapsed="false">
      <c r="A126" s="27"/>
      <c r="B126" s="28"/>
      <c r="C126" s="28"/>
      <c r="D126" s="16"/>
      <c r="E126" s="16"/>
      <c r="F126" s="16"/>
      <c r="G126" s="29" t="str">
        <f aca="false">IF(D126="","",IF(C126&gt;B126,C126-B126,C126-B126+1))</f>
        <v/>
      </c>
    </row>
    <row r="127" customFormat="false" ht="14.25" hidden="false" customHeight="false" outlineLevel="0" collapsed="false">
      <c r="A127" s="27"/>
      <c r="B127" s="28"/>
      <c r="C127" s="28"/>
      <c r="D127" s="16"/>
      <c r="E127" s="16"/>
      <c r="F127" s="16"/>
      <c r="G127" s="29" t="str">
        <f aca="false">IF(D127="","",IF(C127&gt;B127,C127-B127,C127-B127+1))</f>
        <v/>
      </c>
    </row>
    <row r="128" customFormat="false" ht="14.25" hidden="false" customHeight="false" outlineLevel="0" collapsed="false">
      <c r="A128" s="27"/>
      <c r="B128" s="28"/>
      <c r="C128" s="28"/>
      <c r="D128" s="16"/>
      <c r="E128" s="16"/>
      <c r="F128" s="16"/>
      <c r="G128" s="29" t="str">
        <f aca="false">IF(D128="","",IF(C128&gt;B128,C128-B128,C128-B128+1))</f>
        <v/>
      </c>
    </row>
    <row r="129" customFormat="false" ht="14.25" hidden="false" customHeight="false" outlineLevel="0" collapsed="false">
      <c r="A129" s="27"/>
      <c r="B129" s="28"/>
      <c r="C129" s="28"/>
      <c r="D129" s="16"/>
      <c r="E129" s="16"/>
      <c r="F129" s="16"/>
      <c r="G129" s="29" t="str">
        <f aca="false">IF(D129="","",IF(C129&gt;B129,C129-B129,C129-B129+1))</f>
        <v/>
      </c>
    </row>
    <row r="130" customFormat="false" ht="14.25" hidden="false" customHeight="false" outlineLevel="0" collapsed="false">
      <c r="A130" s="27"/>
      <c r="B130" s="28"/>
      <c r="C130" s="28"/>
      <c r="D130" s="16"/>
      <c r="E130" s="16"/>
      <c r="F130" s="16"/>
      <c r="G130" s="29" t="str">
        <f aca="false">IF(D130="","",IF(C130&gt;B130,C130-B130,C130-B130+1))</f>
        <v/>
      </c>
    </row>
    <row r="131" customFormat="false" ht="14.25" hidden="false" customHeight="false" outlineLevel="0" collapsed="false">
      <c r="A131" s="27"/>
      <c r="B131" s="28"/>
      <c r="C131" s="28"/>
      <c r="D131" s="16"/>
      <c r="E131" s="16"/>
      <c r="F131" s="16"/>
      <c r="G131" s="29" t="str">
        <f aca="false">IF(D131="","",IF(C131&gt;B131,C131-B131,C131-B131+1))</f>
        <v/>
      </c>
    </row>
    <row r="132" customFormat="false" ht="14.25" hidden="false" customHeight="false" outlineLevel="0" collapsed="false">
      <c r="A132" s="27"/>
      <c r="B132" s="28"/>
      <c r="C132" s="28"/>
      <c r="D132" s="16"/>
      <c r="E132" s="16"/>
      <c r="F132" s="16"/>
      <c r="G132" s="29" t="str">
        <f aca="false">IF(D132="","",IF(C132&gt;B132,C132-B132,C132-B132+1))</f>
        <v/>
      </c>
    </row>
    <row r="133" customFormat="false" ht="14.25" hidden="false" customHeight="false" outlineLevel="0" collapsed="false">
      <c r="A133" s="27"/>
      <c r="B133" s="28"/>
      <c r="C133" s="28"/>
      <c r="D133" s="16"/>
      <c r="E133" s="16"/>
      <c r="F133" s="16"/>
      <c r="G133" s="29" t="str">
        <f aca="false">IF(D133="","",IF(C133&gt;B133,C133-B133,C133-B133+1))</f>
        <v/>
      </c>
    </row>
    <row r="134" customFormat="false" ht="14.25" hidden="false" customHeight="false" outlineLevel="0" collapsed="false">
      <c r="A134" s="27"/>
      <c r="B134" s="28"/>
      <c r="C134" s="28"/>
      <c r="D134" s="16"/>
      <c r="E134" s="16"/>
      <c r="F134" s="16"/>
      <c r="G134" s="29" t="str">
        <f aca="false">IF(D134="","",IF(C134&gt;B134,C134-B134,C134-B134+1))</f>
        <v/>
      </c>
    </row>
    <row r="135" customFormat="false" ht="14.25" hidden="false" customHeight="false" outlineLevel="0" collapsed="false">
      <c r="A135" s="27"/>
      <c r="B135" s="28"/>
      <c r="C135" s="28"/>
      <c r="D135" s="16"/>
      <c r="E135" s="16"/>
      <c r="F135" s="16"/>
      <c r="G135" s="29" t="str">
        <f aca="false">IF(D135="","",IF(C135&gt;B135,C135-B135,C135-B135+1))</f>
        <v/>
      </c>
    </row>
    <row r="136" customFormat="false" ht="14.25" hidden="false" customHeight="false" outlineLevel="0" collapsed="false">
      <c r="A136" s="27"/>
      <c r="B136" s="28"/>
      <c r="C136" s="28"/>
      <c r="D136" s="16"/>
      <c r="E136" s="16"/>
      <c r="F136" s="16"/>
      <c r="G136" s="29" t="str">
        <f aca="false">IF(D136="","",IF(C136&gt;B136,C136-B136,C136-B136+1))</f>
        <v/>
      </c>
    </row>
    <row r="137" customFormat="false" ht="14.25" hidden="false" customHeight="false" outlineLevel="0" collapsed="false">
      <c r="A137" s="27"/>
      <c r="B137" s="28"/>
      <c r="C137" s="28"/>
      <c r="D137" s="16"/>
      <c r="E137" s="16"/>
      <c r="F137" s="16"/>
      <c r="G137" s="29" t="str">
        <f aca="false">IF(D137="","",IF(C137&gt;B137,C137-B137,C137-B137+1))</f>
        <v/>
      </c>
    </row>
    <row r="138" customFormat="false" ht="14.25" hidden="false" customHeight="false" outlineLevel="0" collapsed="false">
      <c r="A138" s="27"/>
      <c r="B138" s="28"/>
      <c r="C138" s="28"/>
      <c r="D138" s="16"/>
      <c r="E138" s="16"/>
      <c r="F138" s="16"/>
      <c r="G138" s="29" t="str">
        <f aca="false">IF(D138="","",IF(C138&gt;B138,C138-B138,C138-B138+1))</f>
        <v/>
      </c>
    </row>
    <row r="139" customFormat="false" ht="14.25" hidden="false" customHeight="false" outlineLevel="0" collapsed="false">
      <c r="A139" s="27"/>
      <c r="B139" s="28"/>
      <c r="C139" s="28"/>
      <c r="D139" s="16"/>
      <c r="E139" s="16"/>
      <c r="F139" s="16"/>
      <c r="G139" s="29" t="str">
        <f aca="false">IF(D139="","",IF(C139&gt;B139,C139-B139,C139-B139+1))</f>
        <v/>
      </c>
    </row>
    <row r="140" customFormat="false" ht="14.25" hidden="false" customHeight="false" outlineLevel="0" collapsed="false">
      <c r="A140" s="27"/>
      <c r="B140" s="28"/>
      <c r="C140" s="28"/>
      <c r="D140" s="16"/>
      <c r="E140" s="16"/>
      <c r="F140" s="16"/>
      <c r="G140" s="29" t="str">
        <f aca="false">IF(D140="","",IF(C140&gt;B140,C140-B140,C140-B140+1))</f>
        <v/>
      </c>
    </row>
    <row r="141" customFormat="false" ht="14.25" hidden="false" customHeight="false" outlineLevel="0" collapsed="false">
      <c r="A141" s="27"/>
      <c r="B141" s="28"/>
      <c r="C141" s="28"/>
      <c r="D141" s="16"/>
      <c r="E141" s="16"/>
      <c r="F141" s="16"/>
      <c r="G141" s="29" t="str">
        <f aca="false">IF(D141="","",IF(C141&gt;B141,C141-B141,C141-B141+1))</f>
        <v/>
      </c>
    </row>
    <row r="142" customFormat="false" ht="14.25" hidden="false" customHeight="false" outlineLevel="0" collapsed="false">
      <c r="A142" s="27"/>
      <c r="B142" s="28"/>
      <c r="C142" s="28"/>
      <c r="D142" s="16"/>
      <c r="E142" s="16"/>
      <c r="F142" s="16"/>
      <c r="G142" s="29" t="str">
        <f aca="false">IF(D142="","",IF(C142&gt;B142,C142-B142,C142-B142+1))</f>
        <v/>
      </c>
    </row>
    <row r="143" customFormat="false" ht="14.25" hidden="false" customHeight="false" outlineLevel="0" collapsed="false">
      <c r="A143" s="27"/>
      <c r="B143" s="28"/>
      <c r="C143" s="28"/>
      <c r="D143" s="16"/>
      <c r="E143" s="16"/>
      <c r="F143" s="16"/>
      <c r="G143" s="29" t="str">
        <f aca="false">IF(D143="","",IF(C143&gt;B143,C143-B143,C143-B143+1))</f>
        <v/>
      </c>
    </row>
    <row r="144" customFormat="false" ht="14.25" hidden="false" customHeight="false" outlineLevel="0" collapsed="false">
      <c r="A144" s="27"/>
      <c r="B144" s="28"/>
      <c r="C144" s="28"/>
      <c r="D144" s="16"/>
      <c r="E144" s="16"/>
      <c r="F144" s="16"/>
      <c r="G144" s="29" t="str">
        <f aca="false">IF(D144="","",IF(C144&gt;B144,C144-B144,C144-B144+1))</f>
        <v/>
      </c>
    </row>
    <row r="145" customFormat="false" ht="14.25" hidden="false" customHeight="false" outlineLevel="0" collapsed="false">
      <c r="A145" s="27"/>
      <c r="B145" s="28"/>
      <c r="C145" s="28"/>
      <c r="D145" s="16"/>
      <c r="E145" s="16"/>
      <c r="F145" s="16"/>
      <c r="G145" s="29" t="str">
        <f aca="false">IF(D145="","",IF(C145&gt;B145,C145-B145,C145-B145+1))</f>
        <v/>
      </c>
    </row>
    <row r="146" customFormat="false" ht="14.25" hidden="false" customHeight="false" outlineLevel="0" collapsed="false">
      <c r="A146" s="27"/>
      <c r="B146" s="28"/>
      <c r="C146" s="28"/>
      <c r="D146" s="16"/>
      <c r="E146" s="16"/>
      <c r="F146" s="16"/>
      <c r="G146" s="29" t="str">
        <f aca="false">IF(D146="","",IF(C146&gt;B146,C146-B146,C146-B146+1))</f>
        <v/>
      </c>
    </row>
    <row r="147" customFormat="false" ht="14.25" hidden="false" customHeight="false" outlineLevel="0" collapsed="false">
      <c r="A147" s="27"/>
      <c r="B147" s="28"/>
      <c r="C147" s="28"/>
      <c r="D147" s="16"/>
      <c r="E147" s="16"/>
      <c r="F147" s="16"/>
      <c r="G147" s="29" t="str">
        <f aca="false">IF(D147="","",IF(C147&gt;B147,C147-B147,C147-B147+1))</f>
        <v/>
      </c>
    </row>
    <row r="148" customFormat="false" ht="14.25" hidden="false" customHeight="false" outlineLevel="0" collapsed="false">
      <c r="A148" s="27"/>
      <c r="B148" s="28"/>
      <c r="C148" s="28"/>
      <c r="D148" s="16"/>
      <c r="E148" s="16"/>
      <c r="F148" s="16"/>
      <c r="G148" s="29" t="str">
        <f aca="false">IF(D148="","",IF(C148&gt;B148,C148-B148,C148-B148+1))</f>
        <v/>
      </c>
    </row>
    <row r="149" customFormat="false" ht="14.25" hidden="false" customHeight="false" outlineLevel="0" collapsed="false">
      <c r="A149" s="27"/>
      <c r="B149" s="28"/>
      <c r="C149" s="28"/>
      <c r="D149" s="16"/>
      <c r="E149" s="16"/>
      <c r="F149" s="16"/>
      <c r="G149" s="29" t="str">
        <f aca="false">IF(D149="","",IF(C149&gt;B149,C149-B149,C149-B149+1))</f>
        <v/>
      </c>
    </row>
    <row r="150" customFormat="false" ht="14.25" hidden="false" customHeight="false" outlineLevel="0" collapsed="false">
      <c r="A150" s="27"/>
      <c r="B150" s="28"/>
      <c r="C150" s="28"/>
      <c r="D150" s="16"/>
      <c r="E150" s="16"/>
      <c r="F150" s="16"/>
      <c r="G150" s="29" t="str">
        <f aca="false">IF(D150="","",IF(C150&gt;B150,C150-B150,C150-B150+1))</f>
        <v/>
      </c>
    </row>
    <row r="151" customFormat="false" ht="14.25" hidden="false" customHeight="false" outlineLevel="0" collapsed="false">
      <c r="A151" s="27"/>
      <c r="B151" s="28"/>
      <c r="C151" s="28"/>
      <c r="D151" s="16"/>
      <c r="E151" s="16"/>
      <c r="F151" s="16"/>
      <c r="G151" s="29" t="str">
        <f aca="false">IF(D151="","",IF(C151&gt;B151,C151-B151,C151-B151+1))</f>
        <v/>
      </c>
    </row>
    <row r="152" customFormat="false" ht="14.25" hidden="false" customHeight="false" outlineLevel="0" collapsed="false">
      <c r="A152" s="27"/>
      <c r="B152" s="28"/>
      <c r="C152" s="28"/>
      <c r="D152" s="16"/>
      <c r="E152" s="16"/>
      <c r="F152" s="16"/>
      <c r="G152" s="29" t="str">
        <f aca="false">IF(D152="","",IF(C152&gt;B152,C152-B152,C152-B152+1))</f>
        <v/>
      </c>
    </row>
    <row r="153" customFormat="false" ht="14.25" hidden="false" customHeight="false" outlineLevel="0" collapsed="false">
      <c r="A153" s="27"/>
      <c r="B153" s="28"/>
      <c r="C153" s="28"/>
      <c r="D153" s="16"/>
      <c r="E153" s="16"/>
      <c r="F153" s="16"/>
      <c r="G153" s="29" t="str">
        <f aca="false">IF(D153="","",IF(C153&gt;B153,C153-B153,C153-B153+1))</f>
        <v/>
      </c>
    </row>
    <row r="154" customFormat="false" ht="14.25" hidden="false" customHeight="false" outlineLevel="0" collapsed="false">
      <c r="A154" s="27"/>
      <c r="B154" s="28"/>
      <c r="C154" s="28"/>
      <c r="D154" s="16"/>
      <c r="E154" s="16"/>
      <c r="F154" s="16"/>
      <c r="G154" s="29" t="str">
        <f aca="false">IF(D154="","",IF(C154&gt;B154,C154-B154,C154-B154+1))</f>
        <v/>
      </c>
    </row>
    <row r="155" customFormat="false" ht="14.25" hidden="false" customHeight="false" outlineLevel="0" collapsed="false">
      <c r="A155" s="27"/>
      <c r="B155" s="28"/>
      <c r="C155" s="28"/>
      <c r="D155" s="16"/>
      <c r="E155" s="16"/>
      <c r="F155" s="16"/>
      <c r="G155" s="29" t="str">
        <f aca="false">IF(D155="","",IF(C155&gt;B155,C155-B155,C155-B155+1))</f>
        <v/>
      </c>
    </row>
    <row r="156" customFormat="false" ht="14.25" hidden="false" customHeight="false" outlineLevel="0" collapsed="false">
      <c r="A156" s="27"/>
      <c r="B156" s="28"/>
      <c r="C156" s="28"/>
      <c r="D156" s="16"/>
      <c r="E156" s="16"/>
      <c r="F156" s="16"/>
      <c r="G156" s="29" t="str">
        <f aca="false">IF(D156="","",IF(C156&gt;B156,C156-B156,C156-B156+1))</f>
        <v/>
      </c>
    </row>
    <row r="157" customFormat="false" ht="14.25" hidden="false" customHeight="false" outlineLevel="0" collapsed="false">
      <c r="A157" s="27"/>
      <c r="B157" s="28"/>
      <c r="C157" s="28"/>
      <c r="D157" s="16"/>
      <c r="E157" s="16"/>
      <c r="F157" s="16"/>
      <c r="G157" s="29" t="str">
        <f aca="false">IF(D157="","",IF(C157&gt;B157,C157-B157,C157-B157+1))</f>
        <v/>
      </c>
    </row>
    <row r="158" customFormat="false" ht="14.25" hidden="false" customHeight="false" outlineLevel="0" collapsed="false">
      <c r="A158" s="27"/>
      <c r="B158" s="28"/>
      <c r="C158" s="28"/>
      <c r="D158" s="16"/>
      <c r="E158" s="16"/>
      <c r="F158" s="16"/>
      <c r="G158" s="29" t="str">
        <f aca="false">IF(D158="","",IF(C158&gt;B158,C158-B158,C158-B158+1))</f>
        <v/>
      </c>
    </row>
    <row r="159" customFormat="false" ht="14.25" hidden="false" customHeight="false" outlineLevel="0" collapsed="false">
      <c r="A159" s="27"/>
      <c r="B159" s="28"/>
      <c r="C159" s="28"/>
      <c r="D159" s="16"/>
      <c r="E159" s="16"/>
      <c r="F159" s="16"/>
      <c r="G159" s="29" t="str">
        <f aca="false">IF(D159="","",IF(C159&gt;B159,C159-B159,C159-B159+1))</f>
        <v/>
      </c>
    </row>
    <row r="160" customFormat="false" ht="14.25" hidden="false" customHeight="false" outlineLevel="0" collapsed="false">
      <c r="A160" s="27"/>
      <c r="B160" s="28"/>
      <c r="C160" s="28"/>
      <c r="D160" s="16"/>
      <c r="E160" s="16"/>
      <c r="F160" s="16"/>
      <c r="G160" s="29" t="str">
        <f aca="false">IF(D160="","",IF(C160&gt;B160,C160-B160,C160-B160+1))</f>
        <v/>
      </c>
    </row>
    <row r="161" customFormat="false" ht="14.25" hidden="false" customHeight="false" outlineLevel="0" collapsed="false">
      <c r="A161" s="27"/>
      <c r="B161" s="28"/>
      <c r="C161" s="28"/>
      <c r="D161" s="16"/>
      <c r="E161" s="16"/>
      <c r="F161" s="16"/>
      <c r="G161" s="29" t="str">
        <f aca="false">IF(D161="","",IF(C161&gt;B161,C161-B161,C161-B161+1))</f>
        <v/>
      </c>
    </row>
    <row r="162" customFormat="false" ht="14.25" hidden="false" customHeight="false" outlineLevel="0" collapsed="false">
      <c r="A162" s="27"/>
      <c r="B162" s="28"/>
      <c r="C162" s="28"/>
      <c r="D162" s="16"/>
      <c r="E162" s="16"/>
      <c r="F162" s="16"/>
      <c r="G162" s="29" t="str">
        <f aca="false">IF(D162="","",IF(C162&gt;B162,C162-B162,C162-B162+1))</f>
        <v/>
      </c>
    </row>
    <row r="163" customFormat="false" ht="14.25" hidden="false" customHeight="false" outlineLevel="0" collapsed="false">
      <c r="A163" s="27"/>
      <c r="B163" s="28"/>
      <c r="C163" s="28"/>
      <c r="D163" s="16"/>
      <c r="E163" s="16"/>
      <c r="F163" s="16"/>
      <c r="G163" s="29" t="str">
        <f aca="false">IF(D163="","",IF(C163&gt;B163,C163-B163,C163-B163+1))</f>
        <v/>
      </c>
    </row>
    <row r="164" customFormat="false" ht="14.25" hidden="false" customHeight="false" outlineLevel="0" collapsed="false">
      <c r="A164" s="27"/>
      <c r="B164" s="28"/>
      <c r="C164" s="28"/>
      <c r="D164" s="16"/>
      <c r="E164" s="16"/>
      <c r="F164" s="16"/>
      <c r="G164" s="29" t="str">
        <f aca="false">IF(D164="","",IF(C164&gt;B164,C164-B164,C164-B164+1))</f>
        <v/>
      </c>
    </row>
    <row r="165" customFormat="false" ht="14.25" hidden="false" customHeight="false" outlineLevel="0" collapsed="false">
      <c r="A165" s="27"/>
      <c r="B165" s="28"/>
      <c r="C165" s="28"/>
      <c r="D165" s="16"/>
      <c r="E165" s="16"/>
      <c r="F165" s="16"/>
      <c r="G165" s="29" t="str">
        <f aca="false">IF(D165="","",IF(C165&gt;B165,C165-B165,C165-B165+1))</f>
        <v/>
      </c>
    </row>
    <row r="166" customFormat="false" ht="14.25" hidden="false" customHeight="false" outlineLevel="0" collapsed="false">
      <c r="A166" s="27"/>
      <c r="B166" s="28"/>
      <c r="C166" s="28"/>
      <c r="D166" s="16"/>
      <c r="E166" s="16"/>
      <c r="F166" s="16"/>
      <c r="G166" s="29" t="str">
        <f aca="false">IF(D166="","",IF(C166&gt;B166,C166-B166,C166-B166+1))</f>
        <v/>
      </c>
    </row>
    <row r="167" customFormat="false" ht="14.25" hidden="false" customHeight="false" outlineLevel="0" collapsed="false">
      <c r="A167" s="27"/>
      <c r="B167" s="28"/>
      <c r="C167" s="28"/>
      <c r="D167" s="16"/>
      <c r="E167" s="16"/>
      <c r="F167" s="16"/>
      <c r="G167" s="29" t="str">
        <f aca="false">IF(D167="","",IF(C167&gt;B167,C167-B167,C167-B167+1))</f>
        <v/>
      </c>
    </row>
    <row r="168" customFormat="false" ht="14.25" hidden="false" customHeight="false" outlineLevel="0" collapsed="false">
      <c r="A168" s="27"/>
      <c r="B168" s="28"/>
      <c r="C168" s="28"/>
      <c r="D168" s="16"/>
      <c r="E168" s="16"/>
      <c r="F168" s="16"/>
      <c r="G168" s="29" t="str">
        <f aca="false">IF(D168="","",IF(C168&gt;B168,C168-B168,C168-B168+1))</f>
        <v/>
      </c>
    </row>
    <row r="169" customFormat="false" ht="14.25" hidden="false" customHeight="false" outlineLevel="0" collapsed="false">
      <c r="A169" s="27"/>
      <c r="B169" s="28"/>
      <c r="C169" s="28"/>
      <c r="D169" s="16"/>
      <c r="E169" s="16"/>
      <c r="F169" s="16"/>
      <c r="G169" s="29" t="str">
        <f aca="false">IF(D169="","",IF(C169&gt;B169,C169-B169,C169-B169+1))</f>
        <v/>
      </c>
    </row>
    <row r="170" customFormat="false" ht="14.25" hidden="false" customHeight="false" outlineLevel="0" collapsed="false">
      <c r="A170" s="27"/>
      <c r="B170" s="28"/>
      <c r="C170" s="28"/>
      <c r="D170" s="16"/>
      <c r="E170" s="16"/>
      <c r="F170" s="16"/>
      <c r="G170" s="29" t="str">
        <f aca="false">IF(D170="","",IF(C170&gt;B170,C170-B170,C170-B170+1))</f>
        <v/>
      </c>
    </row>
    <row r="171" customFormat="false" ht="14.25" hidden="false" customHeight="false" outlineLevel="0" collapsed="false">
      <c r="A171" s="27"/>
      <c r="B171" s="28"/>
      <c r="C171" s="28"/>
      <c r="D171" s="16"/>
      <c r="E171" s="16"/>
      <c r="F171" s="16"/>
      <c r="G171" s="29" t="str">
        <f aca="false">IF(D171="","",IF(C171&gt;B171,C171-B171,C171-B171+1))</f>
        <v/>
      </c>
    </row>
    <row r="172" customFormat="false" ht="14.25" hidden="false" customHeight="false" outlineLevel="0" collapsed="false">
      <c r="A172" s="27"/>
      <c r="B172" s="28"/>
      <c r="C172" s="28"/>
      <c r="D172" s="16"/>
      <c r="E172" s="16"/>
      <c r="F172" s="16"/>
      <c r="G172" s="29" t="str">
        <f aca="false">IF(D172="","",IF(C172&gt;B172,C172-B172,C172-B172+1))</f>
        <v/>
      </c>
    </row>
    <row r="173" customFormat="false" ht="14.25" hidden="false" customHeight="false" outlineLevel="0" collapsed="false">
      <c r="A173" s="27"/>
      <c r="B173" s="28"/>
      <c r="C173" s="28"/>
      <c r="D173" s="16"/>
      <c r="E173" s="16"/>
      <c r="F173" s="16"/>
      <c r="G173" s="29" t="str">
        <f aca="false">IF(D173="","",IF(C173&gt;B173,C173-B173,C173-B173+1))</f>
        <v/>
      </c>
    </row>
    <row r="174" customFormat="false" ht="14.25" hidden="false" customHeight="false" outlineLevel="0" collapsed="false">
      <c r="A174" s="27"/>
      <c r="B174" s="28"/>
      <c r="C174" s="28"/>
      <c r="D174" s="16"/>
      <c r="E174" s="16"/>
      <c r="F174" s="16"/>
      <c r="G174" s="29" t="str">
        <f aca="false">IF(D174="","",IF(C174&gt;B174,C174-B174,C174-B174+1))</f>
        <v/>
      </c>
    </row>
    <row r="175" customFormat="false" ht="14.25" hidden="false" customHeight="false" outlineLevel="0" collapsed="false">
      <c r="A175" s="27"/>
      <c r="B175" s="28"/>
      <c r="C175" s="28"/>
      <c r="D175" s="16"/>
      <c r="E175" s="16"/>
      <c r="F175" s="16"/>
      <c r="G175" s="29" t="str">
        <f aca="false">IF(D175="","",IF(C175&gt;B175,C175-B175,C175-B175+1))</f>
        <v/>
      </c>
    </row>
    <row r="176" customFormat="false" ht="14.25" hidden="false" customHeight="false" outlineLevel="0" collapsed="false">
      <c r="A176" s="27"/>
      <c r="B176" s="28"/>
      <c r="C176" s="28"/>
      <c r="D176" s="16"/>
      <c r="E176" s="16"/>
      <c r="F176" s="16"/>
      <c r="G176" s="29" t="str">
        <f aca="false">IF(D176="","",IF(C176&gt;B176,C176-B176,C176-B176+1))</f>
        <v/>
      </c>
    </row>
    <row r="177" customFormat="false" ht="14.25" hidden="false" customHeight="false" outlineLevel="0" collapsed="false">
      <c r="A177" s="27"/>
      <c r="B177" s="28"/>
      <c r="C177" s="28"/>
      <c r="D177" s="16"/>
      <c r="E177" s="16"/>
      <c r="F177" s="16"/>
      <c r="G177" s="29" t="str">
        <f aca="false">IF(D177="","",IF(C177&gt;B177,C177-B177,C177-B177+1))</f>
        <v/>
      </c>
    </row>
    <row r="178" customFormat="false" ht="14.25" hidden="false" customHeight="false" outlineLevel="0" collapsed="false">
      <c r="A178" s="27"/>
      <c r="B178" s="28"/>
      <c r="C178" s="28"/>
      <c r="D178" s="16"/>
      <c r="E178" s="16"/>
      <c r="F178" s="16"/>
      <c r="G178" s="29" t="str">
        <f aca="false">IF(D178="","",IF(C178&gt;B178,C178-B178,C178-B178+1))</f>
        <v/>
      </c>
    </row>
    <row r="179" customFormat="false" ht="14.25" hidden="false" customHeight="false" outlineLevel="0" collapsed="false">
      <c r="A179" s="27"/>
      <c r="B179" s="28"/>
      <c r="C179" s="28"/>
      <c r="D179" s="16"/>
      <c r="E179" s="16"/>
      <c r="F179" s="16"/>
      <c r="G179" s="29" t="str">
        <f aca="false">IF(D179="","",IF(C179&gt;B179,C179-B179,C179-B179+1))</f>
        <v/>
      </c>
    </row>
    <row r="180" customFormat="false" ht="14.25" hidden="false" customHeight="false" outlineLevel="0" collapsed="false">
      <c r="A180" s="27"/>
      <c r="B180" s="28"/>
      <c r="C180" s="28"/>
      <c r="D180" s="16"/>
      <c r="E180" s="16"/>
      <c r="F180" s="16"/>
      <c r="G180" s="29" t="str">
        <f aca="false">IF(D180="","",IF(C180&gt;B180,C180-B180,C180-B180+1))</f>
        <v/>
      </c>
    </row>
    <row r="181" customFormat="false" ht="14.25" hidden="false" customHeight="false" outlineLevel="0" collapsed="false">
      <c r="A181" s="27"/>
      <c r="B181" s="28"/>
      <c r="C181" s="28"/>
      <c r="D181" s="16"/>
      <c r="E181" s="16"/>
      <c r="F181" s="16"/>
      <c r="G181" s="29" t="str">
        <f aca="false">IF(D181="","",IF(C181&gt;B181,C181-B181,C181-B181+1))</f>
        <v/>
      </c>
    </row>
    <row r="182" customFormat="false" ht="14.25" hidden="false" customHeight="false" outlineLevel="0" collapsed="false">
      <c r="A182" s="27"/>
      <c r="B182" s="28"/>
      <c r="C182" s="28"/>
      <c r="D182" s="16"/>
      <c r="E182" s="16"/>
      <c r="F182" s="16"/>
      <c r="G182" s="29" t="str">
        <f aca="false">IF(D182="","",IF(C182&gt;B182,C182-B182,C182-B182+1))</f>
        <v/>
      </c>
    </row>
    <row r="183" customFormat="false" ht="14.25" hidden="false" customHeight="false" outlineLevel="0" collapsed="false">
      <c r="A183" s="27"/>
      <c r="B183" s="28"/>
      <c r="C183" s="28"/>
      <c r="D183" s="16"/>
      <c r="E183" s="16"/>
      <c r="F183" s="16"/>
      <c r="G183" s="29" t="str">
        <f aca="false">IF(D183="","",IF(C183&gt;B183,C183-B183,C183-B183+1))</f>
        <v/>
      </c>
    </row>
    <row r="184" customFormat="false" ht="14.25" hidden="false" customHeight="false" outlineLevel="0" collapsed="false">
      <c r="A184" s="27"/>
      <c r="B184" s="28"/>
      <c r="C184" s="28"/>
      <c r="D184" s="16"/>
      <c r="E184" s="16"/>
      <c r="F184" s="16"/>
      <c r="G184" s="29" t="str">
        <f aca="false">IF(D184="","",IF(C184&gt;B184,C184-B184,C184-B184+1))</f>
        <v/>
      </c>
    </row>
    <row r="185" customFormat="false" ht="14.25" hidden="false" customHeight="false" outlineLevel="0" collapsed="false">
      <c r="A185" s="27"/>
      <c r="B185" s="28"/>
      <c r="C185" s="28"/>
      <c r="D185" s="16"/>
      <c r="E185" s="16"/>
      <c r="F185" s="16"/>
      <c r="G185" s="29" t="str">
        <f aca="false">IF(D185="","",IF(C185&gt;B185,C185-B185,C185-B185+1))</f>
        <v/>
      </c>
    </row>
    <row r="186" customFormat="false" ht="14.25" hidden="false" customHeight="false" outlineLevel="0" collapsed="false">
      <c r="A186" s="27"/>
      <c r="B186" s="28"/>
      <c r="C186" s="28"/>
      <c r="D186" s="16"/>
      <c r="E186" s="16"/>
      <c r="F186" s="16"/>
      <c r="G186" s="29" t="str">
        <f aca="false">IF(D186="","",IF(C186&gt;B186,C186-B186,C186-B186+1))</f>
        <v/>
      </c>
    </row>
    <row r="187" customFormat="false" ht="14.25" hidden="false" customHeight="false" outlineLevel="0" collapsed="false">
      <c r="A187" s="27"/>
      <c r="B187" s="28"/>
      <c r="C187" s="28"/>
      <c r="D187" s="16"/>
      <c r="E187" s="16"/>
      <c r="F187" s="16"/>
      <c r="G187" s="29" t="str">
        <f aca="false">IF(D187="","",IF(C187&gt;B187,C187-B187,C187-B187+1))</f>
        <v/>
      </c>
    </row>
    <row r="188" customFormat="false" ht="14.25" hidden="false" customHeight="false" outlineLevel="0" collapsed="false">
      <c r="A188" s="27"/>
      <c r="B188" s="28"/>
      <c r="C188" s="28"/>
      <c r="D188" s="16"/>
      <c r="E188" s="16"/>
      <c r="F188" s="16"/>
      <c r="G188" s="29" t="str">
        <f aca="false">IF(D188="","",IF(C188&gt;B188,C188-B188,C188-B188+1))</f>
        <v/>
      </c>
    </row>
    <row r="189" customFormat="false" ht="14.25" hidden="false" customHeight="false" outlineLevel="0" collapsed="false">
      <c r="A189" s="27"/>
      <c r="B189" s="28"/>
      <c r="C189" s="28"/>
      <c r="D189" s="16"/>
      <c r="E189" s="16"/>
      <c r="F189" s="16"/>
      <c r="G189" s="29" t="str">
        <f aca="false">IF(D189="","",IF(C189&gt;B189,C189-B189,C189-B189+1))</f>
        <v/>
      </c>
    </row>
    <row r="190" customFormat="false" ht="14.25" hidden="false" customHeight="false" outlineLevel="0" collapsed="false">
      <c r="A190" s="27"/>
      <c r="B190" s="28"/>
      <c r="C190" s="28"/>
      <c r="D190" s="16"/>
      <c r="E190" s="16"/>
      <c r="F190" s="16"/>
      <c r="G190" s="29" t="str">
        <f aca="false">IF(D190="","",IF(C190&gt;B190,C190-B190,C190-B190+1))</f>
        <v/>
      </c>
    </row>
    <row r="191" customFormat="false" ht="14.25" hidden="false" customHeight="false" outlineLevel="0" collapsed="false">
      <c r="A191" s="27"/>
      <c r="B191" s="28"/>
      <c r="C191" s="28"/>
      <c r="D191" s="16"/>
      <c r="E191" s="16"/>
      <c r="F191" s="16"/>
      <c r="G191" s="29" t="str">
        <f aca="false">IF(D191="","",IF(C191&gt;B191,C191-B191,C191-B191+1))</f>
        <v/>
      </c>
    </row>
    <row r="192" customFormat="false" ht="14.25" hidden="false" customHeight="false" outlineLevel="0" collapsed="false">
      <c r="A192" s="27"/>
      <c r="B192" s="28"/>
      <c r="C192" s="28"/>
      <c r="D192" s="16"/>
      <c r="E192" s="16"/>
      <c r="F192" s="16"/>
      <c r="G192" s="29" t="str">
        <f aca="false">IF(D192="","",IF(C192&gt;B192,C192-B192,C192-B192+1))</f>
        <v/>
      </c>
    </row>
    <row r="193" customFormat="false" ht="14.25" hidden="false" customHeight="false" outlineLevel="0" collapsed="false">
      <c r="A193" s="27"/>
      <c r="B193" s="28"/>
      <c r="C193" s="28"/>
      <c r="D193" s="16"/>
      <c r="E193" s="16"/>
      <c r="F193" s="16"/>
      <c r="G193" s="29" t="str">
        <f aca="false">IF(D193="","",IF(C193&gt;B193,C193-B193,C193-B193+1))</f>
        <v/>
      </c>
    </row>
    <row r="194" customFormat="false" ht="14.25" hidden="false" customHeight="false" outlineLevel="0" collapsed="false">
      <c r="A194" s="27"/>
      <c r="B194" s="28"/>
      <c r="C194" s="28"/>
      <c r="D194" s="16"/>
      <c r="E194" s="16"/>
      <c r="F194" s="16"/>
      <c r="G194" s="29" t="str">
        <f aca="false">IF(D194="","",IF(C194&gt;B194,C194-B194,C194-B194+1))</f>
        <v/>
      </c>
    </row>
    <row r="195" customFormat="false" ht="14.25" hidden="false" customHeight="false" outlineLevel="0" collapsed="false">
      <c r="A195" s="27"/>
      <c r="B195" s="28"/>
      <c r="C195" s="28"/>
      <c r="D195" s="16"/>
      <c r="E195" s="16"/>
      <c r="F195" s="16"/>
      <c r="G195" s="29" t="str">
        <f aca="false">IF(D195="","",IF(C195&gt;B195,C195-B195,C195-B195+1))</f>
        <v/>
      </c>
    </row>
    <row r="196" customFormat="false" ht="14.25" hidden="false" customHeight="false" outlineLevel="0" collapsed="false">
      <c r="A196" s="27"/>
      <c r="B196" s="28"/>
      <c r="C196" s="28"/>
      <c r="D196" s="16"/>
      <c r="E196" s="16"/>
      <c r="F196" s="16"/>
      <c r="G196" s="29" t="str">
        <f aca="false">IF(D196="","",IF(C196&gt;B196,C196-B196,C196-B196+1))</f>
        <v/>
      </c>
    </row>
    <row r="197" customFormat="false" ht="14.25" hidden="false" customHeight="false" outlineLevel="0" collapsed="false">
      <c r="A197" s="27"/>
      <c r="B197" s="28"/>
      <c r="C197" s="28"/>
      <c r="D197" s="16"/>
      <c r="E197" s="16"/>
      <c r="F197" s="16"/>
      <c r="G197" s="29" t="str">
        <f aca="false">IF(D197="","",IF(C197&gt;B197,C197-B197,C197-B197+1))</f>
        <v/>
      </c>
    </row>
    <row r="198" customFormat="false" ht="14.25" hidden="false" customHeight="false" outlineLevel="0" collapsed="false">
      <c r="A198" s="27"/>
      <c r="B198" s="28"/>
      <c r="C198" s="28"/>
      <c r="D198" s="16"/>
      <c r="E198" s="16"/>
      <c r="F198" s="16"/>
      <c r="G198" s="29" t="str">
        <f aca="false">IF(D198="","",IF(C198&gt;B198,C198-B198,C198-B198+1))</f>
        <v/>
      </c>
    </row>
    <row r="199" customFormat="false" ht="14.25" hidden="false" customHeight="false" outlineLevel="0" collapsed="false">
      <c r="A199" s="27"/>
      <c r="B199" s="28"/>
      <c r="C199" s="28"/>
      <c r="D199" s="16"/>
      <c r="E199" s="16"/>
      <c r="F199" s="16"/>
      <c r="G199" s="29" t="str">
        <f aca="false">IF(D199="","",IF(C199&gt;B199,C199-B199,C199-B199+1))</f>
        <v/>
      </c>
    </row>
    <row r="200" customFormat="false" ht="14.25" hidden="false" customHeight="false" outlineLevel="0" collapsed="false">
      <c r="A200" s="27"/>
      <c r="B200" s="28"/>
      <c r="C200" s="28"/>
      <c r="D200" s="16"/>
      <c r="E200" s="16"/>
      <c r="F200" s="16"/>
      <c r="G200" s="29" t="str">
        <f aca="false">IF(D200="","",IF(C200&gt;B200,C200-B200,C200-B200+1))</f>
        <v/>
      </c>
    </row>
    <row r="201" customFormat="false" ht="14.25" hidden="false" customHeight="false" outlineLevel="0" collapsed="false">
      <c r="A201" s="27"/>
      <c r="B201" s="28"/>
      <c r="C201" s="28"/>
      <c r="D201" s="16"/>
      <c r="E201" s="16"/>
      <c r="F201" s="16"/>
      <c r="G201" s="29" t="str">
        <f aca="false">IF(D201="","",IF(C201&gt;B201,C201-B201,C201-B201+1))</f>
        <v/>
      </c>
    </row>
    <row r="202" customFormat="false" ht="14.25" hidden="false" customHeight="false" outlineLevel="0" collapsed="false">
      <c r="A202" s="27"/>
      <c r="B202" s="28"/>
      <c r="C202" s="28"/>
      <c r="D202" s="16"/>
      <c r="E202" s="16"/>
      <c r="F202" s="16"/>
      <c r="G202" s="29" t="str">
        <f aca="false">IF(D202="","",IF(C202&gt;B202,C202-B202,C202-B202+1))</f>
        <v/>
      </c>
    </row>
    <row r="203" customFormat="false" ht="14.25" hidden="false" customHeight="false" outlineLevel="0" collapsed="false">
      <c r="A203" s="27"/>
      <c r="B203" s="28"/>
      <c r="C203" s="28"/>
      <c r="D203" s="16"/>
      <c r="E203" s="16"/>
      <c r="F203" s="16"/>
      <c r="G203" s="29" t="str">
        <f aca="false">IF(D203="","",IF(C203&gt;B203,C203-B203,C203-B203+1))</f>
        <v/>
      </c>
    </row>
    <row r="204" customFormat="false" ht="14.25" hidden="false" customHeight="false" outlineLevel="0" collapsed="false">
      <c r="A204" s="27"/>
      <c r="B204" s="28"/>
      <c r="C204" s="28"/>
      <c r="D204" s="16"/>
      <c r="E204" s="16"/>
      <c r="F204" s="16"/>
      <c r="G204" s="29" t="str">
        <f aca="false">IF(D204="","",IF(C204&gt;B204,C204-B204,C204-B204+1))</f>
        <v/>
      </c>
    </row>
    <row r="205" customFormat="false" ht="14.25" hidden="false" customHeight="false" outlineLevel="0" collapsed="false">
      <c r="A205" s="27"/>
      <c r="B205" s="28"/>
      <c r="C205" s="28"/>
      <c r="D205" s="16"/>
      <c r="E205" s="16"/>
      <c r="F205" s="16"/>
      <c r="G205" s="29" t="str">
        <f aca="false">IF(D205="","",IF(C205&gt;B205,C205-B205,C205-B205+1))</f>
        <v/>
      </c>
    </row>
    <row r="206" customFormat="false" ht="14.25" hidden="false" customHeight="false" outlineLevel="0" collapsed="false">
      <c r="A206" s="27"/>
      <c r="B206" s="28"/>
      <c r="C206" s="28"/>
      <c r="D206" s="16"/>
      <c r="E206" s="16"/>
      <c r="F206" s="16"/>
      <c r="G206" s="29" t="str">
        <f aca="false">IF(D206="","",IF(C206&gt;B206,C206-B206,C206-B206+1))</f>
        <v/>
      </c>
    </row>
    <row r="207" customFormat="false" ht="14.25" hidden="false" customHeight="false" outlineLevel="0" collapsed="false">
      <c r="A207" s="27"/>
      <c r="B207" s="28"/>
      <c r="C207" s="28"/>
      <c r="D207" s="16"/>
      <c r="E207" s="16"/>
      <c r="F207" s="16"/>
      <c r="G207" s="29" t="str">
        <f aca="false">IF(D207="","",IF(C207&gt;B207,C207-B207,C207-B207+1))</f>
        <v/>
      </c>
    </row>
    <row r="208" customFormat="false" ht="14.25" hidden="false" customHeight="false" outlineLevel="0" collapsed="false">
      <c r="A208" s="27"/>
      <c r="B208" s="28"/>
      <c r="C208" s="28"/>
      <c r="D208" s="16"/>
      <c r="E208" s="16"/>
      <c r="F208" s="16"/>
      <c r="G208" s="29" t="str">
        <f aca="false">IF(D208="","",IF(C208&gt;B208,C208-B208,C208-B208+1))</f>
        <v/>
      </c>
    </row>
    <row r="209" customFormat="false" ht="14.25" hidden="false" customHeight="false" outlineLevel="0" collapsed="false">
      <c r="A209" s="27"/>
      <c r="B209" s="28"/>
      <c r="C209" s="28"/>
      <c r="D209" s="16"/>
      <c r="E209" s="16"/>
      <c r="F209" s="16"/>
      <c r="G209" s="29" t="str">
        <f aca="false">IF(D209="","",IF(C209&gt;B209,C209-B209,C209-B209+1))</f>
        <v/>
      </c>
    </row>
    <row r="210" customFormat="false" ht="14.25" hidden="false" customHeight="false" outlineLevel="0" collapsed="false">
      <c r="A210" s="27"/>
      <c r="B210" s="28"/>
      <c r="C210" s="28"/>
      <c r="D210" s="16"/>
      <c r="E210" s="16"/>
      <c r="F210" s="16"/>
      <c r="G210" s="29" t="str">
        <f aca="false">IF(D210="","",IF(C210&gt;B210,C210-B210,C210-B210+1))</f>
        <v/>
      </c>
    </row>
    <row r="211" customFormat="false" ht="14.25" hidden="false" customHeight="false" outlineLevel="0" collapsed="false">
      <c r="A211" s="27"/>
      <c r="B211" s="28"/>
      <c r="C211" s="28"/>
      <c r="D211" s="16"/>
      <c r="E211" s="16"/>
      <c r="F211" s="16"/>
      <c r="G211" s="29" t="str">
        <f aca="false">IF(D211="","",IF(C211&gt;B211,C211-B211,C211-B211+1))</f>
        <v/>
      </c>
    </row>
    <row r="212" customFormat="false" ht="14.25" hidden="false" customHeight="false" outlineLevel="0" collapsed="false">
      <c r="A212" s="27"/>
      <c r="B212" s="28"/>
      <c r="C212" s="28"/>
      <c r="D212" s="16"/>
      <c r="E212" s="16"/>
      <c r="F212" s="16"/>
      <c r="G212" s="29" t="str">
        <f aca="false">IF(D212="","",IF(C212&gt;B212,C212-B212,C212-B212+1))</f>
        <v/>
      </c>
    </row>
    <row r="213" customFormat="false" ht="14.25" hidden="false" customHeight="false" outlineLevel="0" collapsed="false">
      <c r="A213" s="27"/>
      <c r="B213" s="28"/>
      <c r="C213" s="28"/>
      <c r="D213" s="16"/>
      <c r="E213" s="16"/>
      <c r="F213" s="16"/>
      <c r="G213" s="29" t="str">
        <f aca="false">IF(D213="","",IF(C213&gt;B213,C213-B213,C213-B213+1))</f>
        <v/>
      </c>
    </row>
    <row r="214" customFormat="false" ht="14.25" hidden="false" customHeight="false" outlineLevel="0" collapsed="false">
      <c r="A214" s="27"/>
      <c r="B214" s="28"/>
      <c r="C214" s="28"/>
      <c r="D214" s="16"/>
      <c r="E214" s="16"/>
      <c r="F214" s="16"/>
      <c r="G214" s="29" t="str">
        <f aca="false">IF(D214="","",IF(C214&gt;B214,C214-B214,C214-B214+1))</f>
        <v/>
      </c>
    </row>
    <row r="215" customFormat="false" ht="14.25" hidden="false" customHeight="false" outlineLevel="0" collapsed="false">
      <c r="A215" s="27"/>
      <c r="B215" s="28"/>
      <c r="C215" s="28"/>
      <c r="D215" s="16"/>
      <c r="E215" s="16"/>
      <c r="F215" s="16"/>
      <c r="G215" s="29" t="str">
        <f aca="false">IF(D215="","",IF(C215&gt;B215,C215-B215,C215-B215+1))</f>
        <v/>
      </c>
    </row>
    <row r="216" customFormat="false" ht="14.25" hidden="false" customHeight="false" outlineLevel="0" collapsed="false">
      <c r="A216" s="27"/>
      <c r="B216" s="28"/>
      <c r="C216" s="28"/>
      <c r="D216" s="16"/>
      <c r="E216" s="16"/>
      <c r="F216" s="16"/>
      <c r="G216" s="29" t="str">
        <f aca="false">IF(D216="","",IF(C216&gt;B216,C216-B216,C216-B216+1))</f>
        <v/>
      </c>
    </row>
    <row r="217" customFormat="false" ht="14.25" hidden="false" customHeight="false" outlineLevel="0" collapsed="false">
      <c r="A217" s="27"/>
      <c r="B217" s="28"/>
      <c r="C217" s="28"/>
      <c r="D217" s="16"/>
      <c r="E217" s="16"/>
      <c r="F217" s="16"/>
      <c r="G217" s="29" t="str">
        <f aca="false">IF(D217="","",IF(C217&gt;B217,C217-B217,C217-B217+1))</f>
        <v/>
      </c>
    </row>
    <row r="218" customFormat="false" ht="14.25" hidden="false" customHeight="false" outlineLevel="0" collapsed="false">
      <c r="A218" s="27"/>
      <c r="B218" s="28"/>
      <c r="C218" s="28"/>
      <c r="D218" s="16"/>
      <c r="E218" s="16"/>
      <c r="F218" s="16"/>
      <c r="G218" s="29" t="str">
        <f aca="false">IF(D218="","",IF(C218&gt;B218,C218-B218,C218-B218+1))</f>
        <v/>
      </c>
    </row>
    <row r="219" customFormat="false" ht="14.25" hidden="false" customHeight="false" outlineLevel="0" collapsed="false">
      <c r="A219" s="27"/>
      <c r="B219" s="28"/>
      <c r="C219" s="28"/>
      <c r="D219" s="16"/>
      <c r="E219" s="16"/>
      <c r="F219" s="16"/>
      <c r="G219" s="29" t="str">
        <f aca="false">IF(D219="","",IF(C219&gt;B219,C219-B219,C219-B219+1))</f>
        <v/>
      </c>
    </row>
    <row r="220" customFormat="false" ht="14.25" hidden="false" customHeight="false" outlineLevel="0" collapsed="false">
      <c r="A220" s="27"/>
      <c r="B220" s="28"/>
      <c r="C220" s="28"/>
      <c r="D220" s="16"/>
      <c r="E220" s="16"/>
      <c r="F220" s="16"/>
      <c r="G220" s="29" t="str">
        <f aca="false">IF(D220="","",IF(C220&gt;B220,C220-B220,C220-B220+1))</f>
        <v/>
      </c>
    </row>
    <row r="221" customFormat="false" ht="14.25" hidden="false" customHeight="false" outlineLevel="0" collapsed="false">
      <c r="A221" s="27"/>
      <c r="B221" s="28"/>
      <c r="C221" s="28"/>
      <c r="D221" s="16"/>
      <c r="E221" s="16"/>
      <c r="F221" s="16"/>
      <c r="G221" s="29" t="str">
        <f aca="false">IF(D221="","",IF(C221&gt;B221,C221-B221,C221-B221+1))</f>
        <v/>
      </c>
    </row>
    <row r="222" customFormat="false" ht="14.25" hidden="false" customHeight="false" outlineLevel="0" collapsed="false">
      <c r="A222" s="27"/>
      <c r="B222" s="28"/>
      <c r="C222" s="28"/>
      <c r="D222" s="16"/>
      <c r="E222" s="16"/>
      <c r="F222" s="16"/>
      <c r="G222" s="29" t="str">
        <f aca="false">IF(D222="","",IF(C222&gt;B222,C222-B222,C222-B222+1))</f>
        <v/>
      </c>
    </row>
    <row r="223" customFormat="false" ht="14.25" hidden="false" customHeight="false" outlineLevel="0" collapsed="false">
      <c r="A223" s="27"/>
      <c r="B223" s="28"/>
      <c r="C223" s="28"/>
      <c r="D223" s="16"/>
      <c r="E223" s="16"/>
      <c r="F223" s="16"/>
      <c r="G223" s="29" t="str">
        <f aca="false">IF(D223="","",IF(C223&gt;B223,C223-B223,C223-B223+1))</f>
        <v/>
      </c>
    </row>
    <row r="224" customFormat="false" ht="14.25" hidden="false" customHeight="false" outlineLevel="0" collapsed="false">
      <c r="A224" s="27"/>
      <c r="B224" s="28"/>
      <c r="C224" s="28"/>
      <c r="D224" s="16"/>
      <c r="E224" s="16"/>
      <c r="F224" s="16"/>
      <c r="G224" s="29" t="str">
        <f aca="false">IF(D224="","",IF(C224&gt;B224,C224-B224,C224-B224+1))</f>
        <v/>
      </c>
    </row>
    <row r="225" customFormat="false" ht="14.25" hidden="false" customHeight="false" outlineLevel="0" collapsed="false">
      <c r="A225" s="27"/>
      <c r="B225" s="28"/>
      <c r="C225" s="28"/>
      <c r="D225" s="16"/>
      <c r="E225" s="16"/>
      <c r="F225" s="16"/>
      <c r="G225" s="29" t="str">
        <f aca="false">IF(D225="","",IF(C225&gt;B225,C225-B225,C225-B225+1))</f>
        <v/>
      </c>
    </row>
    <row r="226" customFormat="false" ht="14.25" hidden="false" customHeight="false" outlineLevel="0" collapsed="false">
      <c r="A226" s="27"/>
      <c r="B226" s="28"/>
      <c r="C226" s="28"/>
      <c r="D226" s="16"/>
      <c r="E226" s="16"/>
      <c r="F226" s="16"/>
      <c r="G226" s="29" t="str">
        <f aca="false">IF(D226="","",IF(C226&gt;B226,C226-B226,C226-B226+1))</f>
        <v/>
      </c>
    </row>
    <row r="227" customFormat="false" ht="14.25" hidden="false" customHeight="false" outlineLevel="0" collapsed="false">
      <c r="A227" s="27"/>
      <c r="B227" s="28"/>
      <c r="C227" s="28"/>
      <c r="D227" s="16"/>
      <c r="E227" s="16"/>
      <c r="F227" s="16"/>
      <c r="G227" s="29" t="str">
        <f aca="false">IF(D227="","",IF(C227&gt;B227,C227-B227,C227-B227+1))</f>
        <v/>
      </c>
    </row>
    <row r="228" customFormat="false" ht="14.25" hidden="false" customHeight="false" outlineLevel="0" collapsed="false">
      <c r="A228" s="27"/>
      <c r="B228" s="28"/>
      <c r="C228" s="28"/>
      <c r="D228" s="16"/>
      <c r="E228" s="16"/>
      <c r="F228" s="16"/>
      <c r="G228" s="29" t="str">
        <f aca="false">IF(D228="","",IF(C228&gt;B228,C228-B228,C228-B228+1))</f>
        <v/>
      </c>
    </row>
    <row r="229" customFormat="false" ht="14.25" hidden="false" customHeight="false" outlineLevel="0" collapsed="false">
      <c r="A229" s="27"/>
      <c r="B229" s="28"/>
      <c r="C229" s="28"/>
      <c r="D229" s="16"/>
      <c r="E229" s="16"/>
      <c r="F229" s="16"/>
      <c r="G229" s="29" t="str">
        <f aca="false">IF(D229="","",IF(C229&gt;B229,C229-B229,C229-B229+1))</f>
        <v/>
      </c>
    </row>
    <row r="230" customFormat="false" ht="14.25" hidden="false" customHeight="false" outlineLevel="0" collapsed="false">
      <c r="A230" s="27"/>
      <c r="B230" s="28"/>
      <c r="C230" s="28"/>
      <c r="D230" s="16"/>
      <c r="E230" s="16"/>
      <c r="F230" s="16"/>
      <c r="G230" s="29" t="str">
        <f aca="false">IF(D230="","",IF(C230&gt;B230,C230-B230,C230-B230+1))</f>
        <v/>
      </c>
    </row>
    <row r="231" customFormat="false" ht="14.25" hidden="false" customHeight="false" outlineLevel="0" collapsed="false">
      <c r="A231" s="27"/>
      <c r="B231" s="28"/>
      <c r="C231" s="28"/>
      <c r="D231" s="16"/>
      <c r="E231" s="16"/>
      <c r="F231" s="16"/>
      <c r="G231" s="29" t="str">
        <f aca="false">IF(D231="","",IF(C231&gt;B231,C231-B231,C231-B231+1))</f>
        <v/>
      </c>
    </row>
    <row r="232" customFormat="false" ht="14.25" hidden="false" customHeight="false" outlineLevel="0" collapsed="false">
      <c r="A232" s="27"/>
      <c r="B232" s="28"/>
      <c r="C232" s="28"/>
      <c r="D232" s="16"/>
      <c r="E232" s="16"/>
      <c r="F232" s="16"/>
      <c r="G232" s="29" t="str">
        <f aca="false">IF(D232="","",IF(C232&gt;B232,C232-B232,C232-B232+1))</f>
        <v/>
      </c>
    </row>
    <row r="233" customFormat="false" ht="14.25" hidden="false" customHeight="false" outlineLevel="0" collapsed="false">
      <c r="A233" s="27"/>
      <c r="B233" s="28"/>
      <c r="C233" s="28"/>
      <c r="D233" s="16"/>
      <c r="E233" s="16"/>
      <c r="F233" s="16"/>
      <c r="G233" s="29" t="str">
        <f aca="false">IF(D233="","",IF(C233&gt;B233,C233-B233,C233-B233+1))</f>
        <v/>
      </c>
    </row>
    <row r="234" customFormat="false" ht="14.25" hidden="false" customHeight="false" outlineLevel="0" collapsed="false">
      <c r="A234" s="27"/>
      <c r="B234" s="28"/>
      <c r="C234" s="28"/>
      <c r="D234" s="16"/>
      <c r="E234" s="16"/>
      <c r="F234" s="16"/>
      <c r="G234" s="29" t="str">
        <f aca="false">IF(D234="","",IF(C234&gt;B234,C234-B234,C234-B234+1))</f>
        <v/>
      </c>
    </row>
    <row r="235" customFormat="false" ht="14.25" hidden="false" customHeight="false" outlineLevel="0" collapsed="false">
      <c r="A235" s="27"/>
      <c r="B235" s="28"/>
      <c r="C235" s="28"/>
      <c r="D235" s="16"/>
      <c r="E235" s="16"/>
      <c r="F235" s="16"/>
      <c r="G235" s="29" t="str">
        <f aca="false">IF(D235="","",IF(C235&gt;B235,C235-B235,C235-B235+1))</f>
        <v/>
      </c>
    </row>
    <row r="236" customFormat="false" ht="14.25" hidden="false" customHeight="false" outlineLevel="0" collapsed="false">
      <c r="A236" s="27"/>
      <c r="B236" s="28"/>
      <c r="C236" s="28"/>
      <c r="D236" s="16"/>
      <c r="E236" s="16"/>
      <c r="F236" s="16"/>
      <c r="G236" s="29" t="str">
        <f aca="false">IF(D236="","",IF(C236&gt;B236,C236-B236,C236-B236+1))</f>
        <v/>
      </c>
    </row>
    <row r="237" customFormat="false" ht="14.25" hidden="false" customHeight="false" outlineLevel="0" collapsed="false">
      <c r="A237" s="27"/>
      <c r="B237" s="28"/>
      <c r="C237" s="28"/>
      <c r="D237" s="16"/>
      <c r="E237" s="16"/>
      <c r="F237" s="16"/>
      <c r="G237" s="29" t="str">
        <f aca="false">IF(D237="","",IF(C237&gt;B237,C237-B237,C237-B237+1))</f>
        <v/>
      </c>
    </row>
    <row r="238" customFormat="false" ht="14.25" hidden="false" customHeight="false" outlineLevel="0" collapsed="false">
      <c r="A238" s="27"/>
      <c r="B238" s="28"/>
      <c r="C238" s="28"/>
      <c r="D238" s="16"/>
      <c r="E238" s="16"/>
      <c r="F238" s="16"/>
      <c r="G238" s="29" t="str">
        <f aca="false">IF(D238="","",IF(C238&gt;B238,C238-B238,C238-B238+1))</f>
        <v/>
      </c>
    </row>
    <row r="239" customFormat="false" ht="14.25" hidden="false" customHeight="false" outlineLevel="0" collapsed="false">
      <c r="A239" s="27"/>
      <c r="B239" s="28"/>
      <c r="C239" s="28"/>
      <c r="D239" s="16"/>
      <c r="E239" s="16"/>
      <c r="F239" s="16"/>
      <c r="G239" s="29" t="str">
        <f aca="false">IF(D239="","",IF(C239&gt;B239,C239-B239,C239-B239+1))</f>
        <v/>
      </c>
    </row>
    <row r="240" customFormat="false" ht="14.25" hidden="false" customHeight="false" outlineLevel="0" collapsed="false">
      <c r="A240" s="27"/>
      <c r="B240" s="28"/>
      <c r="C240" s="28"/>
      <c r="D240" s="16"/>
      <c r="E240" s="16"/>
      <c r="F240" s="16"/>
      <c r="G240" s="29" t="str">
        <f aca="false">IF(D240="","",IF(C240&gt;B240,C240-B240,C240-B240+1))</f>
        <v/>
      </c>
    </row>
    <row r="241" customFormat="false" ht="14.25" hidden="false" customHeight="false" outlineLevel="0" collapsed="false">
      <c r="A241" s="27"/>
      <c r="B241" s="28"/>
      <c r="C241" s="28"/>
      <c r="D241" s="16"/>
      <c r="E241" s="16"/>
      <c r="F241" s="16"/>
      <c r="G241" s="29" t="str">
        <f aca="false">IF(D241="","",IF(C241&gt;B241,C241-B241,C241-B241+1))</f>
        <v/>
      </c>
    </row>
    <row r="242" customFormat="false" ht="14.25" hidden="false" customHeight="false" outlineLevel="0" collapsed="false">
      <c r="A242" s="27"/>
      <c r="B242" s="28"/>
      <c r="C242" s="28"/>
      <c r="D242" s="16"/>
      <c r="E242" s="16"/>
      <c r="F242" s="16"/>
      <c r="G242" s="29" t="str">
        <f aca="false">IF(D242="","",IF(C242&gt;B242,C242-B242,C242-B242+1))</f>
        <v/>
      </c>
    </row>
    <row r="243" customFormat="false" ht="14.25" hidden="false" customHeight="false" outlineLevel="0" collapsed="false">
      <c r="A243" s="27"/>
      <c r="B243" s="28"/>
      <c r="C243" s="28"/>
      <c r="D243" s="16"/>
      <c r="E243" s="16"/>
      <c r="F243" s="16"/>
      <c r="G243" s="29" t="str">
        <f aca="false">IF(D243="","",IF(C243&gt;B243,C243-B243,C243-B243+1))</f>
        <v/>
      </c>
    </row>
    <row r="244" customFormat="false" ht="14.25" hidden="false" customHeight="false" outlineLevel="0" collapsed="false">
      <c r="A244" s="27"/>
      <c r="B244" s="28"/>
      <c r="C244" s="28"/>
      <c r="D244" s="16"/>
      <c r="E244" s="16"/>
      <c r="F244" s="16"/>
      <c r="G244" s="29" t="str">
        <f aca="false">IF(D244="","",IF(C244&gt;B244,C244-B244,C244-B244+1))</f>
        <v/>
      </c>
    </row>
    <row r="245" customFormat="false" ht="14.25" hidden="false" customHeight="false" outlineLevel="0" collapsed="false">
      <c r="A245" s="27"/>
      <c r="B245" s="28"/>
      <c r="C245" s="28"/>
      <c r="D245" s="16"/>
      <c r="E245" s="16"/>
      <c r="F245" s="16"/>
      <c r="G245" s="29" t="str">
        <f aca="false">IF(D245="","",IF(C245&gt;B245,C245-B245,C245-B245+1))</f>
        <v/>
      </c>
    </row>
    <row r="246" customFormat="false" ht="14.25" hidden="false" customHeight="false" outlineLevel="0" collapsed="false">
      <c r="A246" s="27"/>
      <c r="B246" s="28"/>
      <c r="C246" s="28"/>
      <c r="D246" s="16"/>
      <c r="E246" s="16"/>
      <c r="F246" s="16"/>
      <c r="G246" s="29" t="str">
        <f aca="false">IF(D246="","",IF(C246&gt;B246,C246-B246,C246-B246+1))</f>
        <v/>
      </c>
    </row>
    <row r="247" customFormat="false" ht="14.25" hidden="false" customHeight="false" outlineLevel="0" collapsed="false">
      <c r="A247" s="27"/>
      <c r="B247" s="28"/>
      <c r="C247" s="28"/>
      <c r="D247" s="16"/>
      <c r="E247" s="16"/>
      <c r="F247" s="16"/>
      <c r="G247" s="29" t="str">
        <f aca="false">IF(D247="","",IF(C247&gt;B247,C247-B247,C247-B247+1))</f>
        <v/>
      </c>
    </row>
    <row r="248" customFormat="false" ht="14.25" hidden="false" customHeight="false" outlineLevel="0" collapsed="false">
      <c r="A248" s="27"/>
      <c r="B248" s="28"/>
      <c r="C248" s="28"/>
      <c r="D248" s="16"/>
      <c r="E248" s="16"/>
      <c r="F248" s="16"/>
      <c r="G248" s="29" t="str">
        <f aca="false">IF(D248="","",IF(C248&gt;B248,C248-B248,C248-B248+1))</f>
        <v/>
      </c>
    </row>
    <row r="249" customFormat="false" ht="14.25" hidden="false" customHeight="false" outlineLevel="0" collapsed="false">
      <c r="A249" s="27"/>
      <c r="B249" s="28"/>
      <c r="C249" s="28"/>
      <c r="D249" s="16"/>
      <c r="E249" s="16"/>
      <c r="F249" s="16"/>
      <c r="G249" s="29" t="str">
        <f aca="false">IF(D249="","",IF(C249&gt;B249,C249-B249,C249-B249+1))</f>
        <v/>
      </c>
    </row>
    <row r="250" customFormat="false" ht="14.25" hidden="false" customHeight="false" outlineLevel="0" collapsed="false">
      <c r="A250" s="27"/>
      <c r="B250" s="28"/>
      <c r="C250" s="28"/>
      <c r="D250" s="16"/>
      <c r="E250" s="16"/>
      <c r="F250" s="16"/>
      <c r="G250" s="29" t="str">
        <f aca="false">IF(D250="","",IF(C250&gt;B250,C250-B250,C250-B250+1))</f>
        <v/>
      </c>
    </row>
    <row r="251" customFormat="false" ht="14.25" hidden="false" customHeight="false" outlineLevel="0" collapsed="false">
      <c r="A251" s="27"/>
      <c r="B251" s="28"/>
      <c r="C251" s="28"/>
      <c r="D251" s="16"/>
      <c r="E251" s="16"/>
      <c r="F251" s="16"/>
      <c r="G251" s="29" t="str">
        <f aca="false">IF(D251="","",IF(C251&gt;B251,C251-B251,C251-B251+1))</f>
        <v/>
      </c>
    </row>
    <row r="252" customFormat="false" ht="14.25" hidden="false" customHeight="false" outlineLevel="0" collapsed="false">
      <c r="A252" s="27"/>
      <c r="B252" s="28"/>
      <c r="C252" s="28"/>
      <c r="D252" s="16"/>
      <c r="E252" s="16"/>
      <c r="F252" s="16"/>
      <c r="G252" s="29" t="str">
        <f aca="false">IF(D252="","",IF(C252&gt;B252,C252-B252,C252-B252+1))</f>
        <v/>
      </c>
    </row>
    <row r="253" customFormat="false" ht="14.25" hidden="false" customHeight="false" outlineLevel="0" collapsed="false">
      <c r="A253" s="27"/>
      <c r="B253" s="28"/>
      <c r="C253" s="28"/>
      <c r="D253" s="16"/>
      <c r="E253" s="16"/>
      <c r="F253" s="16"/>
      <c r="G253" s="29" t="str">
        <f aca="false">IF(D253="","",IF(C253&gt;B253,C253-B253,C253-B253+1))</f>
        <v/>
      </c>
    </row>
    <row r="254" customFormat="false" ht="14.25" hidden="false" customHeight="false" outlineLevel="0" collapsed="false">
      <c r="A254" s="27"/>
      <c r="B254" s="28"/>
      <c r="C254" s="28"/>
      <c r="D254" s="16"/>
      <c r="E254" s="16"/>
      <c r="F254" s="16"/>
      <c r="G254" s="29" t="str">
        <f aca="false">IF(D254="","",IF(C254&gt;B254,C254-B254,C254-B254+1))</f>
        <v/>
      </c>
    </row>
    <row r="255" customFormat="false" ht="14.25" hidden="false" customHeight="false" outlineLevel="0" collapsed="false">
      <c r="A255" s="27"/>
      <c r="B255" s="28"/>
      <c r="C255" s="28"/>
      <c r="D255" s="16"/>
      <c r="E255" s="16"/>
      <c r="F255" s="16"/>
      <c r="G255" s="29" t="str">
        <f aca="false">IF(D255="","",IF(C255&gt;B255,C255-B255,C255-B255+1))</f>
        <v/>
      </c>
    </row>
    <row r="256" customFormat="false" ht="14.25" hidden="false" customHeight="false" outlineLevel="0" collapsed="false">
      <c r="A256" s="27"/>
      <c r="B256" s="28"/>
      <c r="C256" s="28"/>
      <c r="D256" s="16"/>
      <c r="E256" s="16"/>
      <c r="F256" s="16"/>
      <c r="G256" s="29" t="str">
        <f aca="false">IF(D256="","",IF(C256&gt;B256,C256-B256,C256-B256+1))</f>
        <v/>
      </c>
    </row>
    <row r="257" customFormat="false" ht="14.25" hidden="false" customHeight="false" outlineLevel="0" collapsed="false">
      <c r="A257" s="27"/>
      <c r="B257" s="28"/>
      <c r="C257" s="28"/>
      <c r="D257" s="16"/>
      <c r="E257" s="16"/>
      <c r="F257" s="16"/>
      <c r="G257" s="29" t="str">
        <f aca="false">IF(D257="","",IF(C257&gt;B257,C257-B257,C257-B257+1))</f>
        <v/>
      </c>
    </row>
    <row r="258" customFormat="false" ht="14.25" hidden="false" customHeight="false" outlineLevel="0" collapsed="false">
      <c r="A258" s="27"/>
      <c r="B258" s="28"/>
      <c r="C258" s="28"/>
      <c r="D258" s="16"/>
      <c r="E258" s="16"/>
      <c r="F258" s="16"/>
      <c r="G258" s="29" t="str">
        <f aca="false">IF(D258="","",IF(C258&gt;B258,C258-B258,C258-B258+1))</f>
        <v/>
      </c>
    </row>
    <row r="259" customFormat="false" ht="14.25" hidden="false" customHeight="false" outlineLevel="0" collapsed="false">
      <c r="A259" s="27"/>
      <c r="B259" s="28"/>
      <c r="C259" s="28"/>
      <c r="D259" s="16"/>
      <c r="E259" s="16"/>
      <c r="F259" s="16"/>
      <c r="G259" s="29" t="str">
        <f aca="false">IF(D259="","",IF(C259&gt;B259,C259-B259,C259-B259+1))</f>
        <v/>
      </c>
    </row>
    <row r="260" customFormat="false" ht="14.25" hidden="false" customHeight="false" outlineLevel="0" collapsed="false">
      <c r="A260" s="27"/>
      <c r="B260" s="28"/>
      <c r="C260" s="28"/>
      <c r="D260" s="16"/>
      <c r="E260" s="16"/>
      <c r="F260" s="16"/>
      <c r="G260" s="29" t="str">
        <f aca="false">IF(D260="","",IF(C260&gt;B260,C260-B260,C260-B260+1))</f>
        <v/>
      </c>
    </row>
    <row r="261" customFormat="false" ht="14.25" hidden="false" customHeight="false" outlineLevel="0" collapsed="false">
      <c r="A261" s="27"/>
      <c r="B261" s="28"/>
      <c r="C261" s="28"/>
      <c r="D261" s="16"/>
      <c r="E261" s="16"/>
      <c r="F261" s="16"/>
      <c r="G261" s="29" t="str">
        <f aca="false">IF(D261="","",IF(C261&gt;B261,C261-B261,C261-B261+1))</f>
        <v/>
      </c>
    </row>
    <row r="262" customFormat="false" ht="14.25" hidden="false" customHeight="false" outlineLevel="0" collapsed="false">
      <c r="A262" s="27"/>
      <c r="B262" s="28"/>
      <c r="C262" s="28"/>
      <c r="D262" s="16"/>
      <c r="E262" s="16"/>
      <c r="F262" s="16"/>
      <c r="G262" s="29" t="str">
        <f aca="false">IF(D262="","",IF(C262&gt;B262,C262-B262,C262-B262+1))</f>
        <v/>
      </c>
    </row>
    <row r="263" customFormat="false" ht="14.25" hidden="false" customHeight="false" outlineLevel="0" collapsed="false">
      <c r="A263" s="27"/>
      <c r="B263" s="28"/>
      <c r="C263" s="28"/>
      <c r="D263" s="16"/>
      <c r="E263" s="16"/>
      <c r="F263" s="16"/>
      <c r="G263" s="29" t="str">
        <f aca="false">IF(D263="","",IF(C263&gt;B263,C263-B263,C263-B263+1))</f>
        <v/>
      </c>
    </row>
    <row r="264" customFormat="false" ht="14.25" hidden="false" customHeight="false" outlineLevel="0" collapsed="false">
      <c r="A264" s="27"/>
      <c r="B264" s="28"/>
      <c r="C264" s="28"/>
      <c r="D264" s="16"/>
      <c r="E264" s="16"/>
      <c r="F264" s="16"/>
      <c r="G264" s="29" t="str">
        <f aca="false">IF(D264="","",IF(C264&gt;B264,C264-B264,C264-B264+1))</f>
        <v/>
      </c>
    </row>
    <row r="265" customFormat="false" ht="14.25" hidden="false" customHeight="false" outlineLevel="0" collapsed="false">
      <c r="A265" s="27"/>
      <c r="B265" s="28"/>
      <c r="C265" s="28"/>
      <c r="D265" s="16"/>
      <c r="E265" s="16"/>
      <c r="F265" s="16"/>
      <c r="G265" s="29" t="str">
        <f aca="false">IF(D265="","",IF(C265&gt;B265,C265-B265,C265-B265+1))</f>
        <v/>
      </c>
    </row>
    <row r="266" customFormat="false" ht="14.25" hidden="false" customHeight="false" outlineLevel="0" collapsed="false">
      <c r="A266" s="27"/>
      <c r="B266" s="28"/>
      <c r="C266" s="28"/>
      <c r="D266" s="16"/>
      <c r="E266" s="16"/>
      <c r="F266" s="16"/>
      <c r="G266" s="29" t="str">
        <f aca="false">IF(D266="","",IF(C266&gt;B266,C266-B266,C266-B266+1))</f>
        <v/>
      </c>
    </row>
    <row r="267" customFormat="false" ht="14.25" hidden="false" customHeight="false" outlineLevel="0" collapsed="false">
      <c r="A267" s="27"/>
      <c r="B267" s="28"/>
      <c r="C267" s="28"/>
      <c r="D267" s="16"/>
      <c r="E267" s="16"/>
      <c r="F267" s="16"/>
      <c r="G267" s="29" t="str">
        <f aca="false">IF(D267="","",IF(C267&gt;B267,C267-B267,C267-B267+1))</f>
        <v/>
      </c>
    </row>
    <row r="268" customFormat="false" ht="14.25" hidden="false" customHeight="false" outlineLevel="0" collapsed="false">
      <c r="A268" s="27"/>
      <c r="B268" s="28"/>
      <c r="C268" s="28"/>
      <c r="D268" s="16"/>
      <c r="E268" s="16"/>
      <c r="F268" s="16"/>
      <c r="G268" s="29" t="str">
        <f aca="false">IF(D268="","",IF(C268&gt;B268,C268-B268,C268-B268+1))</f>
        <v/>
      </c>
    </row>
    <row r="269" customFormat="false" ht="14.25" hidden="false" customHeight="false" outlineLevel="0" collapsed="false">
      <c r="A269" s="27"/>
      <c r="B269" s="28"/>
      <c r="C269" s="28"/>
      <c r="D269" s="16"/>
      <c r="E269" s="16"/>
      <c r="F269" s="16"/>
      <c r="G269" s="29" t="str">
        <f aca="false">IF(D269="","",IF(C269&gt;B269,C269-B269,C269-B269+1))</f>
        <v/>
      </c>
    </row>
    <row r="270" customFormat="false" ht="14.25" hidden="false" customHeight="false" outlineLevel="0" collapsed="false">
      <c r="A270" s="27"/>
      <c r="B270" s="28"/>
      <c r="C270" s="28"/>
      <c r="D270" s="16"/>
      <c r="E270" s="16"/>
      <c r="F270" s="16"/>
      <c r="G270" s="29" t="str">
        <f aca="false">IF(D270="","",IF(C270&gt;B270,C270-B270,C270-B270+1))</f>
        <v/>
      </c>
    </row>
    <row r="271" customFormat="false" ht="14.25" hidden="false" customHeight="false" outlineLevel="0" collapsed="false">
      <c r="A271" s="27"/>
      <c r="B271" s="28"/>
      <c r="C271" s="28"/>
      <c r="D271" s="16"/>
      <c r="E271" s="16"/>
      <c r="F271" s="16"/>
      <c r="G271" s="29" t="str">
        <f aca="false">IF(D271="","",IF(C271&gt;B271,C271-B271,C271-B271+1))</f>
        <v/>
      </c>
    </row>
    <row r="272" customFormat="false" ht="14.25" hidden="false" customHeight="false" outlineLevel="0" collapsed="false">
      <c r="A272" s="27"/>
      <c r="B272" s="28"/>
      <c r="C272" s="28"/>
      <c r="D272" s="16"/>
      <c r="E272" s="16"/>
      <c r="F272" s="16"/>
      <c r="G272" s="29" t="str">
        <f aca="false">IF(D272="","",IF(C272&gt;B272,C272-B272,C272-B272+1))</f>
        <v/>
      </c>
    </row>
    <row r="273" customFormat="false" ht="14.25" hidden="false" customHeight="false" outlineLevel="0" collapsed="false">
      <c r="A273" s="27"/>
      <c r="B273" s="28"/>
      <c r="C273" s="28"/>
      <c r="D273" s="16"/>
      <c r="E273" s="16"/>
      <c r="F273" s="16"/>
      <c r="G273" s="29" t="str">
        <f aca="false">IF(D273="","",IF(C273&gt;B273,C273-B273,C273-B273+1))</f>
        <v/>
      </c>
    </row>
    <row r="274" customFormat="false" ht="14.25" hidden="false" customHeight="false" outlineLevel="0" collapsed="false">
      <c r="A274" s="27"/>
      <c r="B274" s="28"/>
      <c r="C274" s="28"/>
      <c r="D274" s="16"/>
      <c r="E274" s="16"/>
      <c r="F274" s="16"/>
      <c r="G274" s="29" t="str">
        <f aca="false">IF(D274="","",IF(C274&gt;B274,C274-B274,C274-B274+1))</f>
        <v/>
      </c>
    </row>
    <row r="275" customFormat="false" ht="14.25" hidden="false" customHeight="false" outlineLevel="0" collapsed="false">
      <c r="A275" s="27"/>
      <c r="B275" s="28"/>
      <c r="C275" s="28"/>
      <c r="D275" s="16"/>
      <c r="E275" s="16"/>
      <c r="F275" s="16"/>
      <c r="G275" s="29" t="str">
        <f aca="false">IF(D275="","",IF(C275&gt;B275,C275-B275,C275-B275+1))</f>
        <v/>
      </c>
    </row>
    <row r="276" customFormat="false" ht="14.25" hidden="false" customHeight="false" outlineLevel="0" collapsed="false">
      <c r="A276" s="27"/>
      <c r="B276" s="28"/>
      <c r="C276" s="28"/>
      <c r="D276" s="16"/>
      <c r="E276" s="16"/>
      <c r="F276" s="16"/>
      <c r="G276" s="29" t="str">
        <f aca="false">IF(D276="","",IF(C276&gt;B276,C276-B276,C276-B276+1))</f>
        <v/>
      </c>
    </row>
    <row r="277" customFormat="false" ht="14.25" hidden="false" customHeight="false" outlineLevel="0" collapsed="false">
      <c r="A277" s="27"/>
      <c r="B277" s="28"/>
      <c r="C277" s="28"/>
      <c r="D277" s="16"/>
      <c r="E277" s="16"/>
      <c r="F277" s="16"/>
      <c r="G277" s="29" t="str">
        <f aca="false">IF(D277="","",IF(C277&gt;B277,C277-B277,C277-B277+1))</f>
        <v/>
      </c>
    </row>
    <row r="278" customFormat="false" ht="14.25" hidden="false" customHeight="false" outlineLevel="0" collapsed="false">
      <c r="A278" s="27"/>
      <c r="B278" s="28"/>
      <c r="C278" s="28"/>
      <c r="D278" s="16"/>
      <c r="E278" s="16"/>
      <c r="F278" s="16"/>
      <c r="G278" s="29" t="str">
        <f aca="false">IF(D278="","",IF(C278&gt;B278,C278-B278,C278-B278+1))</f>
        <v/>
      </c>
    </row>
    <row r="279" customFormat="false" ht="14.25" hidden="false" customHeight="false" outlineLevel="0" collapsed="false">
      <c r="A279" s="27"/>
      <c r="B279" s="28"/>
      <c r="C279" s="28"/>
      <c r="D279" s="16"/>
      <c r="E279" s="16"/>
      <c r="F279" s="16"/>
      <c r="G279" s="29" t="str">
        <f aca="false">IF(D279="","",IF(C279&gt;B279,C279-B279,C279-B279+1))</f>
        <v/>
      </c>
    </row>
    <row r="280" customFormat="false" ht="14.25" hidden="false" customHeight="false" outlineLevel="0" collapsed="false">
      <c r="A280" s="27"/>
      <c r="B280" s="28"/>
      <c r="C280" s="28"/>
      <c r="D280" s="16"/>
      <c r="E280" s="16"/>
      <c r="F280" s="16"/>
      <c r="G280" s="29" t="str">
        <f aca="false">IF(D280="","",IF(C280&gt;B280,C280-B280,C280-B280+1))</f>
        <v/>
      </c>
    </row>
    <row r="281" customFormat="false" ht="14.25" hidden="false" customHeight="false" outlineLevel="0" collapsed="false">
      <c r="A281" s="27"/>
      <c r="B281" s="28"/>
      <c r="C281" s="28"/>
      <c r="D281" s="16"/>
      <c r="E281" s="16"/>
      <c r="F281" s="16"/>
      <c r="G281" s="29" t="str">
        <f aca="false">IF(D281="","",IF(C281&gt;B281,C281-B281,C281-B281+1))</f>
        <v/>
      </c>
    </row>
    <row r="282" customFormat="false" ht="14.25" hidden="false" customHeight="false" outlineLevel="0" collapsed="false">
      <c r="A282" s="27"/>
      <c r="B282" s="28"/>
      <c r="C282" s="28"/>
      <c r="D282" s="16"/>
      <c r="E282" s="16"/>
      <c r="F282" s="16"/>
      <c r="G282" s="29" t="str">
        <f aca="false">IF(D282="","",IF(C282&gt;B282,C282-B282,C282-B282+1))</f>
        <v/>
      </c>
    </row>
    <row r="283" customFormat="false" ht="14.25" hidden="false" customHeight="false" outlineLevel="0" collapsed="false">
      <c r="A283" s="27"/>
      <c r="B283" s="28"/>
      <c r="C283" s="28"/>
      <c r="D283" s="16"/>
      <c r="E283" s="16"/>
      <c r="F283" s="16"/>
      <c r="G283" s="29" t="str">
        <f aca="false">IF(D283="","",IF(C283&gt;B283,C283-B283,C283-B283+1))</f>
        <v/>
      </c>
    </row>
    <row r="284" customFormat="false" ht="14.25" hidden="false" customHeight="false" outlineLevel="0" collapsed="false">
      <c r="A284" s="27"/>
      <c r="B284" s="28"/>
      <c r="C284" s="28"/>
      <c r="D284" s="16"/>
      <c r="E284" s="16"/>
      <c r="F284" s="16"/>
      <c r="G284" s="29" t="str">
        <f aca="false">IF(D284="","",IF(C284&gt;B284,C284-B284,C284-B284+1))</f>
        <v/>
      </c>
    </row>
    <row r="285" customFormat="false" ht="14.25" hidden="false" customHeight="false" outlineLevel="0" collapsed="false">
      <c r="A285" s="27"/>
      <c r="B285" s="28"/>
      <c r="C285" s="28"/>
      <c r="D285" s="16"/>
      <c r="E285" s="16"/>
      <c r="F285" s="16"/>
      <c r="G285" s="29" t="str">
        <f aca="false">IF(D285="","",IF(C285&gt;B285,C285-B285,C285-B285+1))</f>
        <v/>
      </c>
    </row>
    <row r="286" customFormat="false" ht="14.25" hidden="false" customHeight="false" outlineLevel="0" collapsed="false">
      <c r="A286" s="27"/>
      <c r="B286" s="28"/>
      <c r="C286" s="28"/>
      <c r="D286" s="16"/>
      <c r="E286" s="16"/>
      <c r="F286" s="16"/>
      <c r="G286" s="29" t="str">
        <f aca="false">IF(D286="","",IF(C286&gt;B286,C286-B286,C286-B286+1))</f>
        <v/>
      </c>
    </row>
    <row r="287" customFormat="false" ht="14.25" hidden="false" customHeight="false" outlineLevel="0" collapsed="false">
      <c r="A287" s="27"/>
      <c r="B287" s="28"/>
      <c r="C287" s="28"/>
      <c r="D287" s="16"/>
      <c r="E287" s="16"/>
      <c r="F287" s="16"/>
      <c r="G287" s="29" t="str">
        <f aca="false">IF(D287="","",IF(C287&gt;B287,C287-B287,C287-B287+1))</f>
        <v/>
      </c>
    </row>
    <row r="288" customFormat="false" ht="14.25" hidden="false" customHeight="false" outlineLevel="0" collapsed="false">
      <c r="A288" s="27"/>
      <c r="B288" s="28"/>
      <c r="C288" s="28"/>
      <c r="D288" s="16"/>
      <c r="E288" s="16"/>
      <c r="F288" s="16"/>
      <c r="G288" s="29" t="str">
        <f aca="false">IF(D288="","",IF(C288&gt;B288,C288-B288,C288-B288+1))</f>
        <v/>
      </c>
    </row>
    <row r="289" customFormat="false" ht="14.25" hidden="false" customHeight="false" outlineLevel="0" collapsed="false">
      <c r="A289" s="27"/>
      <c r="B289" s="28"/>
      <c r="C289" s="28"/>
      <c r="D289" s="16"/>
      <c r="E289" s="16"/>
      <c r="F289" s="16"/>
      <c r="G289" s="29" t="str">
        <f aca="false">IF(D289="","",IF(C289&gt;B289,C289-B289,C289-B289+1))</f>
        <v/>
      </c>
    </row>
    <row r="290" customFormat="false" ht="14.25" hidden="false" customHeight="false" outlineLevel="0" collapsed="false">
      <c r="A290" s="27"/>
      <c r="B290" s="28"/>
      <c r="C290" s="28"/>
      <c r="D290" s="16"/>
      <c r="E290" s="16"/>
      <c r="F290" s="16"/>
      <c r="G290" s="29" t="str">
        <f aca="false">IF(D290="","",IF(C290&gt;B290,C290-B290,C290-B290+1))</f>
        <v/>
      </c>
    </row>
    <row r="291" customFormat="false" ht="14.25" hidden="false" customHeight="false" outlineLevel="0" collapsed="false">
      <c r="A291" s="27"/>
      <c r="B291" s="28"/>
      <c r="C291" s="28"/>
      <c r="D291" s="16"/>
      <c r="E291" s="16"/>
      <c r="F291" s="16"/>
      <c r="G291" s="29" t="str">
        <f aca="false">IF(D291="","",IF(C291&gt;B291,C291-B291,C291-B291+1))</f>
        <v/>
      </c>
    </row>
    <row r="292" customFormat="false" ht="14.25" hidden="false" customHeight="false" outlineLevel="0" collapsed="false">
      <c r="A292" s="27"/>
      <c r="B292" s="28"/>
      <c r="C292" s="28"/>
      <c r="D292" s="16"/>
      <c r="E292" s="16"/>
      <c r="F292" s="16"/>
      <c r="G292" s="29" t="str">
        <f aca="false">IF(D292="","",IF(C292&gt;B292,C292-B292,C292-B292+1))</f>
        <v/>
      </c>
    </row>
    <row r="293" customFormat="false" ht="14.25" hidden="false" customHeight="false" outlineLevel="0" collapsed="false">
      <c r="A293" s="27"/>
      <c r="B293" s="28"/>
      <c r="C293" s="28"/>
      <c r="D293" s="16"/>
      <c r="E293" s="16"/>
      <c r="F293" s="16"/>
      <c r="G293" s="29" t="str">
        <f aca="false">IF(D293="","",IF(C293&gt;B293,C293-B293,C293-B293+1))</f>
        <v/>
      </c>
    </row>
    <row r="294" customFormat="false" ht="14.25" hidden="false" customHeight="false" outlineLevel="0" collapsed="false">
      <c r="A294" s="27"/>
      <c r="B294" s="28"/>
      <c r="C294" s="28"/>
      <c r="D294" s="16"/>
      <c r="E294" s="16"/>
      <c r="F294" s="16"/>
      <c r="G294" s="29" t="str">
        <f aca="false">IF(D294="","",IF(C294&gt;B294,C294-B294,C294-B294+1))</f>
        <v/>
      </c>
    </row>
    <row r="295" customFormat="false" ht="14.25" hidden="false" customHeight="false" outlineLevel="0" collapsed="false">
      <c r="A295" s="27"/>
      <c r="B295" s="28"/>
      <c r="C295" s="28"/>
      <c r="D295" s="16"/>
      <c r="E295" s="16"/>
      <c r="F295" s="16"/>
      <c r="G295" s="29" t="str">
        <f aca="false">IF(D295="","",IF(C295&gt;B295,C295-B295,C295-B295+1))</f>
        <v/>
      </c>
    </row>
    <row r="296" customFormat="false" ht="14.25" hidden="false" customHeight="false" outlineLevel="0" collapsed="false">
      <c r="A296" s="27"/>
      <c r="B296" s="28"/>
      <c r="C296" s="28"/>
      <c r="D296" s="16"/>
      <c r="E296" s="16"/>
      <c r="F296" s="16"/>
      <c r="G296" s="29" t="str">
        <f aca="false">IF(D296="","",IF(C296&gt;B296,C296-B296,C296-B296+1))</f>
        <v/>
      </c>
    </row>
    <row r="297" customFormat="false" ht="14.25" hidden="false" customHeight="false" outlineLevel="0" collapsed="false">
      <c r="A297" s="27"/>
      <c r="B297" s="28"/>
      <c r="C297" s="28"/>
      <c r="D297" s="16"/>
      <c r="E297" s="16"/>
      <c r="F297" s="16"/>
      <c r="G297" s="29" t="str">
        <f aca="false">IF(D297="","",IF(C297&gt;B297,C297-B297,C297-B297+1))</f>
        <v/>
      </c>
    </row>
    <row r="298" customFormat="false" ht="14.25" hidden="false" customHeight="false" outlineLevel="0" collapsed="false">
      <c r="A298" s="27"/>
      <c r="B298" s="28"/>
      <c r="C298" s="28"/>
      <c r="D298" s="16"/>
      <c r="E298" s="16"/>
      <c r="F298" s="16"/>
      <c r="G298" s="29" t="str">
        <f aca="false">IF(D298="","",IF(C298&gt;B298,C298-B298,C298-B298+1))</f>
        <v/>
      </c>
    </row>
    <row r="299" customFormat="false" ht="14.25" hidden="false" customHeight="false" outlineLevel="0" collapsed="false">
      <c r="A299" s="27"/>
      <c r="B299" s="28"/>
      <c r="C299" s="28"/>
      <c r="D299" s="16"/>
      <c r="E299" s="16"/>
      <c r="F299" s="16"/>
      <c r="G299" s="29" t="str">
        <f aca="false">IF(D299="","",IF(C299&gt;B299,C299-B299,C299-B299+1))</f>
        <v/>
      </c>
    </row>
    <row r="300" customFormat="false" ht="14.25" hidden="false" customHeight="false" outlineLevel="0" collapsed="false">
      <c r="A300" s="27"/>
      <c r="B300" s="28"/>
      <c r="C300" s="28"/>
      <c r="D300" s="16"/>
      <c r="E300" s="16"/>
      <c r="F300" s="16"/>
      <c r="G300" s="29" t="str">
        <f aca="false">IF(D300="","",IF(C300&gt;B300,C300-B300,C300-B300+1))</f>
        <v/>
      </c>
    </row>
    <row r="301" customFormat="false" ht="14.25" hidden="false" customHeight="false" outlineLevel="0" collapsed="false">
      <c r="A301" s="27"/>
      <c r="B301" s="28"/>
      <c r="C301" s="28"/>
      <c r="D301" s="16"/>
      <c r="E301" s="16"/>
      <c r="F301" s="16"/>
      <c r="G301" s="29" t="str">
        <f aca="false">IF(D301="","",IF(C301&gt;B301,C301-B301,C301-B301+1))</f>
        <v/>
      </c>
    </row>
    <row r="302" customFormat="false" ht="14.25" hidden="false" customHeight="false" outlineLevel="0" collapsed="false">
      <c r="A302" s="27"/>
      <c r="B302" s="28"/>
      <c r="C302" s="28"/>
      <c r="D302" s="16"/>
      <c r="E302" s="16"/>
      <c r="F302" s="16"/>
      <c r="G302" s="29" t="str">
        <f aca="false">IF(D302="","",IF(C302&gt;B302,C302-B302,C302-B302+1))</f>
        <v/>
      </c>
    </row>
    <row r="303" customFormat="false" ht="14.25" hidden="false" customHeight="false" outlineLevel="0" collapsed="false">
      <c r="A303" s="27"/>
      <c r="B303" s="28"/>
      <c r="C303" s="28"/>
      <c r="D303" s="16"/>
      <c r="E303" s="16"/>
      <c r="F303" s="16"/>
      <c r="G303" s="29" t="str">
        <f aca="false">IF(D303="","",IF(C303&gt;B303,C303-B303,C303-B303+1))</f>
        <v/>
      </c>
    </row>
    <row r="304" customFormat="false" ht="14.25" hidden="false" customHeight="false" outlineLevel="0" collapsed="false">
      <c r="A304" s="27"/>
      <c r="B304" s="28"/>
      <c r="C304" s="28"/>
      <c r="D304" s="16"/>
      <c r="E304" s="16"/>
      <c r="F304" s="16"/>
      <c r="G304" s="29" t="str">
        <f aca="false">IF(D304="","",IF(C304&gt;B304,C304-B304,C304-B304+1))</f>
        <v/>
      </c>
    </row>
    <row r="305" customFormat="false" ht="14.25" hidden="false" customHeight="false" outlineLevel="0" collapsed="false">
      <c r="A305" s="27"/>
      <c r="B305" s="28"/>
      <c r="C305" s="28"/>
      <c r="D305" s="16"/>
      <c r="E305" s="16"/>
      <c r="F305" s="16"/>
      <c r="G305" s="29" t="str">
        <f aca="false">IF(D305="","",IF(C305&gt;B305,C305-B305,C305-B305+1))</f>
        <v/>
      </c>
    </row>
    <row r="306" customFormat="false" ht="14.25" hidden="false" customHeight="false" outlineLevel="0" collapsed="false">
      <c r="A306" s="27"/>
      <c r="B306" s="28"/>
      <c r="C306" s="28"/>
      <c r="D306" s="16"/>
      <c r="E306" s="16"/>
      <c r="F306" s="16"/>
      <c r="G306" s="29" t="str">
        <f aca="false">IF(D306="","",IF(C306&gt;B306,C306-B306,C306-B306+1))</f>
        <v/>
      </c>
    </row>
    <row r="307" customFormat="false" ht="14.25" hidden="false" customHeight="false" outlineLevel="0" collapsed="false">
      <c r="A307" s="27"/>
      <c r="B307" s="28"/>
      <c r="C307" s="28"/>
      <c r="D307" s="16"/>
      <c r="E307" s="16"/>
      <c r="F307" s="16"/>
      <c r="G307" s="29" t="str">
        <f aca="false">IF(D307="","",IF(C307&gt;B307,C307-B307,C307-B307+1))</f>
        <v/>
      </c>
    </row>
    <row r="308" customFormat="false" ht="14.25" hidden="false" customHeight="false" outlineLevel="0" collapsed="false">
      <c r="A308" s="27"/>
      <c r="B308" s="28"/>
      <c r="C308" s="28"/>
      <c r="D308" s="16"/>
      <c r="E308" s="16"/>
      <c r="F308" s="16"/>
      <c r="G308" s="29" t="str">
        <f aca="false">IF(D308="","",IF(C308&gt;B308,C308-B308,C308-B308+1))</f>
        <v/>
      </c>
    </row>
    <row r="309" customFormat="false" ht="14.25" hidden="false" customHeight="false" outlineLevel="0" collapsed="false">
      <c r="A309" s="27"/>
      <c r="B309" s="28"/>
      <c r="C309" s="28"/>
      <c r="D309" s="16"/>
      <c r="E309" s="16"/>
      <c r="F309" s="16"/>
      <c r="G309" s="29" t="str">
        <f aca="false">IF(D309="","",IF(C309&gt;B309,C309-B309,C309-B309+1))</f>
        <v/>
      </c>
    </row>
    <row r="310" customFormat="false" ht="14.25" hidden="false" customHeight="false" outlineLevel="0" collapsed="false">
      <c r="A310" s="27"/>
      <c r="B310" s="28"/>
      <c r="C310" s="28"/>
      <c r="D310" s="16"/>
      <c r="E310" s="16"/>
      <c r="F310" s="16"/>
      <c r="G310" s="29" t="str">
        <f aca="false">IF(D310="","",IF(C310&gt;B310,C310-B310,C310-B310+1))</f>
        <v/>
      </c>
    </row>
    <row r="311" customFormat="false" ht="14.25" hidden="false" customHeight="false" outlineLevel="0" collapsed="false">
      <c r="A311" s="27"/>
      <c r="B311" s="28"/>
      <c r="C311" s="28"/>
      <c r="D311" s="16"/>
      <c r="E311" s="16"/>
      <c r="F311" s="16"/>
      <c r="G311" s="29" t="str">
        <f aca="false">IF(D311="","",IF(C311&gt;B311,C311-B311,C311-B311+1))</f>
        <v/>
      </c>
    </row>
    <row r="312" customFormat="false" ht="14.25" hidden="false" customHeight="false" outlineLevel="0" collapsed="false">
      <c r="A312" s="27"/>
      <c r="B312" s="28"/>
      <c r="C312" s="28"/>
      <c r="D312" s="16"/>
      <c r="E312" s="16"/>
      <c r="F312" s="16"/>
      <c r="G312" s="29" t="str">
        <f aca="false">IF(D312="","",IF(C312&gt;B312,C312-B312,C312-B312+1))</f>
        <v/>
      </c>
    </row>
    <row r="313" customFormat="false" ht="14.25" hidden="false" customHeight="false" outlineLevel="0" collapsed="false">
      <c r="A313" s="27"/>
      <c r="B313" s="28"/>
      <c r="C313" s="28"/>
      <c r="D313" s="16"/>
      <c r="E313" s="16"/>
      <c r="F313" s="16"/>
      <c r="G313" s="29" t="str">
        <f aca="false">IF(D313="","",IF(C313&gt;B313,C313-B313,C313-B313+1))</f>
        <v/>
      </c>
    </row>
    <row r="314" customFormat="false" ht="14.25" hidden="false" customHeight="false" outlineLevel="0" collapsed="false">
      <c r="A314" s="27"/>
      <c r="B314" s="28"/>
      <c r="C314" s="28"/>
      <c r="D314" s="16"/>
      <c r="E314" s="16"/>
      <c r="F314" s="16"/>
      <c r="G314" s="29" t="str">
        <f aca="false">IF(D314="","",IF(C314&gt;B314,C314-B314,C314-B314+1))</f>
        <v/>
      </c>
    </row>
    <row r="315" customFormat="false" ht="14.25" hidden="false" customHeight="false" outlineLevel="0" collapsed="false">
      <c r="A315" s="27"/>
      <c r="B315" s="28"/>
      <c r="C315" s="28"/>
      <c r="D315" s="16"/>
      <c r="E315" s="16"/>
      <c r="F315" s="16"/>
      <c r="G315" s="29" t="str">
        <f aca="false">IF(D315="","",IF(C315&gt;B315,C315-B315,C315-B315+1))</f>
        <v/>
      </c>
    </row>
    <row r="316" customFormat="false" ht="14.25" hidden="false" customHeight="false" outlineLevel="0" collapsed="false">
      <c r="A316" s="27"/>
      <c r="B316" s="28"/>
      <c r="C316" s="28"/>
      <c r="D316" s="16"/>
      <c r="E316" s="16"/>
      <c r="F316" s="16"/>
      <c r="G316" s="29" t="str">
        <f aca="false">IF(D316="","",IF(C316&gt;B316,C316-B316,C316-B316+1))</f>
        <v/>
      </c>
    </row>
    <row r="317" customFormat="false" ht="14.25" hidden="false" customHeight="false" outlineLevel="0" collapsed="false">
      <c r="A317" s="27"/>
      <c r="B317" s="28"/>
      <c r="C317" s="28"/>
      <c r="D317" s="16"/>
      <c r="E317" s="16"/>
      <c r="F317" s="16"/>
      <c r="G317" s="29" t="str">
        <f aca="false">IF(D317="","",IF(C317&gt;B317,C317-B317,C317-B317+1))</f>
        <v/>
      </c>
    </row>
    <row r="318" customFormat="false" ht="14.25" hidden="false" customHeight="false" outlineLevel="0" collapsed="false">
      <c r="A318" s="27"/>
      <c r="B318" s="28"/>
      <c r="C318" s="28"/>
      <c r="D318" s="16"/>
      <c r="E318" s="16"/>
      <c r="F318" s="16"/>
      <c r="G318" s="29" t="str">
        <f aca="false">IF(D318="","",IF(C318&gt;B318,C318-B318,C318-B318+1))</f>
        <v/>
      </c>
    </row>
    <row r="319" customFormat="false" ht="14.25" hidden="false" customHeight="false" outlineLevel="0" collapsed="false">
      <c r="A319" s="27"/>
      <c r="B319" s="28"/>
      <c r="C319" s="28"/>
      <c r="D319" s="16"/>
      <c r="E319" s="16"/>
      <c r="F319" s="16"/>
      <c r="G319" s="29" t="str">
        <f aca="false">IF(D319="","",IF(C319&gt;B319,C319-B319,C319-B319+1))</f>
        <v/>
      </c>
    </row>
    <row r="320" customFormat="false" ht="14.25" hidden="false" customHeight="false" outlineLevel="0" collapsed="false">
      <c r="A320" s="27"/>
      <c r="B320" s="28"/>
      <c r="C320" s="28"/>
      <c r="D320" s="16"/>
      <c r="E320" s="16"/>
      <c r="F320" s="16"/>
      <c r="G320" s="29" t="str">
        <f aca="false">IF(D320="","",IF(C320&gt;B320,C320-B320,C320-B320+1))</f>
        <v/>
      </c>
    </row>
    <row r="321" customFormat="false" ht="14.25" hidden="false" customHeight="false" outlineLevel="0" collapsed="false">
      <c r="A321" s="27"/>
      <c r="B321" s="28"/>
      <c r="C321" s="28"/>
      <c r="D321" s="16"/>
      <c r="E321" s="16"/>
      <c r="F321" s="16"/>
      <c r="G321" s="29" t="str">
        <f aca="false">IF(D321="","",IF(C321&gt;B321,C321-B321,C321-B321+1))</f>
        <v/>
      </c>
    </row>
    <row r="322" customFormat="false" ht="14.25" hidden="false" customHeight="false" outlineLevel="0" collapsed="false">
      <c r="A322" s="27"/>
      <c r="B322" s="28"/>
      <c r="C322" s="28"/>
      <c r="D322" s="16"/>
      <c r="E322" s="16"/>
      <c r="F322" s="16"/>
      <c r="G322" s="29" t="str">
        <f aca="false">IF(D322="","",IF(C322&gt;B322,C322-B322,C322-B322+1))</f>
        <v/>
      </c>
    </row>
    <row r="323" customFormat="false" ht="14.25" hidden="false" customHeight="false" outlineLevel="0" collapsed="false">
      <c r="A323" s="27"/>
      <c r="B323" s="28"/>
      <c r="C323" s="28"/>
      <c r="D323" s="16"/>
      <c r="E323" s="16"/>
      <c r="F323" s="16"/>
      <c r="G323" s="29" t="str">
        <f aca="false">IF(D323="","",IF(C323&gt;B323,C323-B323,C323-B323+1))</f>
        <v/>
      </c>
    </row>
    <row r="324" customFormat="false" ht="14.25" hidden="false" customHeight="false" outlineLevel="0" collapsed="false">
      <c r="A324" s="27"/>
      <c r="B324" s="28"/>
      <c r="C324" s="28"/>
      <c r="D324" s="16"/>
      <c r="E324" s="16"/>
      <c r="F324" s="16"/>
      <c r="G324" s="29" t="str">
        <f aca="false">IF(D324="","",IF(C324&gt;B324,C324-B324,C324-B324+1))</f>
        <v/>
      </c>
    </row>
    <row r="325" customFormat="false" ht="14.25" hidden="false" customHeight="false" outlineLevel="0" collapsed="false">
      <c r="A325" s="27"/>
      <c r="B325" s="28"/>
      <c r="C325" s="28"/>
      <c r="D325" s="16"/>
      <c r="E325" s="16"/>
      <c r="F325" s="16"/>
      <c r="G325" s="29" t="str">
        <f aca="false">IF(D325="","",IF(C325&gt;B325,C325-B325,C325-B325+1))</f>
        <v/>
      </c>
    </row>
    <row r="326" customFormat="false" ht="14.25" hidden="false" customHeight="false" outlineLevel="0" collapsed="false">
      <c r="A326" s="27"/>
      <c r="B326" s="28"/>
      <c r="C326" s="28"/>
      <c r="D326" s="16"/>
      <c r="E326" s="16"/>
      <c r="F326" s="16"/>
      <c r="G326" s="29" t="str">
        <f aca="false">IF(D326="","",IF(C326&gt;B326,C326-B326,C326-B326+1))</f>
        <v/>
      </c>
    </row>
    <row r="327" customFormat="false" ht="14.25" hidden="false" customHeight="false" outlineLevel="0" collapsed="false">
      <c r="A327" s="27"/>
      <c r="B327" s="28"/>
      <c r="C327" s="28"/>
      <c r="D327" s="16"/>
      <c r="E327" s="16"/>
      <c r="F327" s="16"/>
      <c r="G327" s="29" t="str">
        <f aca="false">IF(D327="","",IF(C327&gt;B327,C327-B327,C327-B327+1))</f>
        <v/>
      </c>
    </row>
    <row r="328" customFormat="false" ht="14.25" hidden="false" customHeight="false" outlineLevel="0" collapsed="false">
      <c r="A328" s="27"/>
      <c r="B328" s="28"/>
      <c r="C328" s="28"/>
      <c r="D328" s="16"/>
      <c r="E328" s="16"/>
      <c r="F328" s="16"/>
      <c r="G328" s="29" t="str">
        <f aca="false">IF(D328="","",IF(C328&gt;B328,C328-B328,C328-B328+1))</f>
        <v/>
      </c>
    </row>
    <row r="329" customFormat="false" ht="14.25" hidden="false" customHeight="false" outlineLevel="0" collapsed="false">
      <c r="A329" s="27"/>
      <c r="B329" s="28"/>
      <c r="C329" s="28"/>
      <c r="D329" s="16"/>
      <c r="E329" s="16"/>
      <c r="F329" s="16"/>
      <c r="G329" s="29" t="str">
        <f aca="false">IF(D329="","",IF(C329&gt;B329,C329-B329,C329-B329+1))</f>
        <v/>
      </c>
    </row>
    <row r="330" customFormat="false" ht="14.25" hidden="false" customHeight="false" outlineLevel="0" collapsed="false">
      <c r="A330" s="27"/>
      <c r="B330" s="28"/>
      <c r="C330" s="28"/>
      <c r="D330" s="16"/>
      <c r="E330" s="16"/>
      <c r="F330" s="16"/>
      <c r="G330" s="29" t="str">
        <f aca="false">IF(D330="","",IF(C330&gt;B330,C330-B330,C330-B330+1))</f>
        <v/>
      </c>
    </row>
    <row r="331" customFormat="false" ht="14.25" hidden="false" customHeight="false" outlineLevel="0" collapsed="false">
      <c r="A331" s="27"/>
      <c r="B331" s="28"/>
      <c r="C331" s="28"/>
      <c r="D331" s="16"/>
      <c r="E331" s="16"/>
      <c r="F331" s="16"/>
      <c r="G331" s="29" t="str">
        <f aca="false">IF(D331="","",IF(C331&gt;B331,C331-B331,C331-B331+1))</f>
        <v/>
      </c>
    </row>
    <row r="332" customFormat="false" ht="14.25" hidden="false" customHeight="false" outlineLevel="0" collapsed="false">
      <c r="A332" s="27"/>
      <c r="B332" s="28"/>
      <c r="C332" s="28"/>
      <c r="D332" s="16"/>
      <c r="E332" s="16"/>
      <c r="F332" s="16"/>
      <c r="G332" s="29" t="str">
        <f aca="false">IF(D332="","",IF(C332&gt;B332,C332-B332,C332-B332+1))</f>
        <v/>
      </c>
    </row>
    <row r="333" customFormat="false" ht="14.25" hidden="false" customHeight="false" outlineLevel="0" collapsed="false">
      <c r="A333" s="27"/>
      <c r="B333" s="28"/>
      <c r="C333" s="28"/>
      <c r="D333" s="16"/>
      <c r="E333" s="16"/>
      <c r="F333" s="16"/>
      <c r="G333" s="29" t="str">
        <f aca="false">IF(D333="","",IF(C333&gt;B333,C333-B333,C333-B333+1))</f>
        <v/>
      </c>
    </row>
    <row r="334" customFormat="false" ht="14.25" hidden="false" customHeight="false" outlineLevel="0" collapsed="false">
      <c r="A334" s="27"/>
      <c r="B334" s="28"/>
      <c r="C334" s="28"/>
      <c r="D334" s="16"/>
      <c r="E334" s="16"/>
      <c r="F334" s="16"/>
      <c r="G334" s="29" t="str">
        <f aca="false">IF(D334="","",IF(C334&gt;B334,C334-B334,C334-B334+1))</f>
        <v/>
      </c>
    </row>
    <row r="335" customFormat="false" ht="14.25" hidden="false" customHeight="false" outlineLevel="0" collapsed="false">
      <c r="A335" s="27"/>
      <c r="B335" s="28"/>
      <c r="C335" s="28"/>
      <c r="D335" s="16"/>
      <c r="E335" s="16"/>
      <c r="F335" s="16"/>
      <c r="G335" s="29" t="str">
        <f aca="false">IF(D335="","",IF(C335&gt;B335,C335-B335,C335-B335+1))</f>
        <v/>
      </c>
    </row>
    <row r="336" customFormat="false" ht="14.25" hidden="false" customHeight="false" outlineLevel="0" collapsed="false">
      <c r="A336" s="27"/>
      <c r="B336" s="28"/>
      <c r="C336" s="28"/>
      <c r="D336" s="16"/>
      <c r="E336" s="16"/>
      <c r="F336" s="16"/>
      <c r="G336" s="29" t="str">
        <f aca="false">IF(D336="","",IF(C336&gt;B336,C336-B336,C336-B336+1))</f>
        <v/>
      </c>
    </row>
    <row r="337" customFormat="false" ht="14.25" hidden="false" customHeight="false" outlineLevel="0" collapsed="false">
      <c r="A337" s="27"/>
      <c r="B337" s="28"/>
      <c r="C337" s="28"/>
      <c r="D337" s="16"/>
      <c r="E337" s="16"/>
      <c r="F337" s="16"/>
      <c r="G337" s="29" t="str">
        <f aca="false">IF(D337="","",IF(C337&gt;B337,C337-B337,C337-B337+1))</f>
        <v/>
      </c>
    </row>
    <row r="338" customFormat="false" ht="14.25" hidden="false" customHeight="false" outlineLevel="0" collapsed="false">
      <c r="A338" s="27"/>
      <c r="B338" s="28"/>
      <c r="C338" s="28"/>
      <c r="D338" s="16"/>
      <c r="E338" s="16"/>
      <c r="F338" s="16"/>
      <c r="G338" s="29" t="str">
        <f aca="false">IF(D338="","",IF(C338&gt;B338,C338-B338,C338-B338+1))</f>
        <v/>
      </c>
    </row>
    <row r="339" customFormat="false" ht="14.25" hidden="false" customHeight="false" outlineLevel="0" collapsed="false">
      <c r="A339" s="27"/>
      <c r="B339" s="28"/>
      <c r="C339" s="28"/>
      <c r="D339" s="16"/>
      <c r="E339" s="16"/>
      <c r="F339" s="16"/>
      <c r="G339" s="29" t="str">
        <f aca="false">IF(D339="","",IF(C339&gt;B339,C339-B339,C339-B339+1))</f>
        <v/>
      </c>
    </row>
    <row r="340" customFormat="false" ht="14.25" hidden="false" customHeight="false" outlineLevel="0" collapsed="false">
      <c r="A340" s="27"/>
      <c r="B340" s="28"/>
      <c r="C340" s="28"/>
      <c r="D340" s="16"/>
      <c r="E340" s="16"/>
      <c r="F340" s="16"/>
      <c r="G340" s="29" t="str">
        <f aca="false">IF(D340="","",IF(C340&gt;B340,C340-B340,C340-B340+1))</f>
        <v/>
      </c>
    </row>
    <row r="341" customFormat="false" ht="14.25" hidden="false" customHeight="false" outlineLevel="0" collapsed="false">
      <c r="A341" s="27"/>
      <c r="B341" s="28"/>
      <c r="C341" s="28"/>
      <c r="D341" s="16"/>
      <c r="E341" s="16"/>
      <c r="F341" s="16"/>
      <c r="G341" s="29" t="str">
        <f aca="false">IF(D341="","",IF(C341&gt;B341,C341-B341,C341-B341+1))</f>
        <v/>
      </c>
    </row>
    <row r="342" customFormat="false" ht="14.25" hidden="false" customHeight="false" outlineLevel="0" collapsed="false">
      <c r="A342" s="27"/>
      <c r="B342" s="28"/>
      <c r="C342" s="28"/>
      <c r="D342" s="16"/>
      <c r="E342" s="16"/>
      <c r="F342" s="16"/>
      <c r="G342" s="29" t="str">
        <f aca="false">IF(D342="","",IF(C342&gt;B342,C342-B342,C342-B342+1))</f>
        <v/>
      </c>
    </row>
    <row r="343" customFormat="false" ht="14.25" hidden="false" customHeight="false" outlineLevel="0" collapsed="false">
      <c r="A343" s="27"/>
      <c r="B343" s="28"/>
      <c r="C343" s="28"/>
      <c r="D343" s="16"/>
      <c r="E343" s="16"/>
      <c r="F343" s="16"/>
      <c r="G343" s="29" t="str">
        <f aca="false">IF(D343="","",IF(C343&gt;B343,C343-B343,C343-B343+1))</f>
        <v/>
      </c>
    </row>
    <row r="344" customFormat="false" ht="14.25" hidden="false" customHeight="false" outlineLevel="0" collapsed="false">
      <c r="A344" s="27"/>
      <c r="B344" s="28"/>
      <c r="C344" s="28"/>
      <c r="D344" s="16"/>
      <c r="E344" s="16"/>
      <c r="F344" s="16"/>
      <c r="G344" s="29" t="str">
        <f aca="false">IF(D344="","",IF(C344&gt;B344,C344-B344,C344-B344+1))</f>
        <v/>
      </c>
    </row>
    <row r="345" customFormat="false" ht="14.25" hidden="false" customHeight="false" outlineLevel="0" collapsed="false">
      <c r="A345" s="27"/>
      <c r="B345" s="28"/>
      <c r="C345" s="28"/>
      <c r="D345" s="16"/>
      <c r="E345" s="16"/>
      <c r="F345" s="16"/>
      <c r="G345" s="29" t="str">
        <f aca="false">IF(D345="","",IF(C345&gt;B345,C345-B345,C345-B345+1))</f>
        <v/>
      </c>
    </row>
    <row r="346" customFormat="false" ht="14.25" hidden="false" customHeight="false" outlineLevel="0" collapsed="false">
      <c r="A346" s="27"/>
      <c r="B346" s="28"/>
      <c r="C346" s="28"/>
      <c r="D346" s="16"/>
      <c r="E346" s="16"/>
      <c r="F346" s="16"/>
      <c r="G346" s="29" t="str">
        <f aca="false">IF(D346="","",IF(C346&gt;B346,C346-B346,C346-B346+1))</f>
        <v/>
      </c>
    </row>
    <row r="347" customFormat="false" ht="14.25" hidden="false" customHeight="false" outlineLevel="0" collapsed="false">
      <c r="A347" s="27"/>
      <c r="B347" s="28"/>
      <c r="C347" s="28"/>
      <c r="D347" s="16"/>
      <c r="E347" s="16"/>
      <c r="F347" s="16"/>
      <c r="G347" s="29" t="str">
        <f aca="false">IF(D347="","",IF(C347&gt;B347,C347-B347,C347-B347+1))</f>
        <v/>
      </c>
    </row>
    <row r="348" customFormat="false" ht="14.25" hidden="false" customHeight="false" outlineLevel="0" collapsed="false">
      <c r="A348" s="27"/>
      <c r="B348" s="28"/>
      <c r="C348" s="28"/>
      <c r="D348" s="16"/>
      <c r="E348" s="16"/>
      <c r="F348" s="16"/>
      <c r="G348" s="29" t="str">
        <f aca="false">IF(D348="","",IF(C348&gt;B348,C348-B348,C348-B348+1))</f>
        <v/>
      </c>
    </row>
    <row r="349" customFormat="false" ht="14.25" hidden="false" customHeight="false" outlineLevel="0" collapsed="false">
      <c r="A349" s="27"/>
      <c r="B349" s="28"/>
      <c r="C349" s="28"/>
      <c r="D349" s="16"/>
      <c r="E349" s="16"/>
      <c r="F349" s="16"/>
      <c r="G349" s="29" t="str">
        <f aca="false">IF(D349="","",IF(C349&gt;B349,C349-B349,C349-B349+1))</f>
        <v/>
      </c>
    </row>
    <row r="350" customFormat="false" ht="14.25" hidden="false" customHeight="false" outlineLevel="0" collapsed="false">
      <c r="A350" s="27"/>
      <c r="B350" s="28"/>
      <c r="C350" s="28"/>
      <c r="D350" s="16"/>
      <c r="E350" s="16"/>
      <c r="F350" s="16"/>
      <c r="G350" s="29" t="str">
        <f aca="false">IF(D350="","",IF(C350&gt;B350,C350-B350,C350-B350+1))</f>
        <v/>
      </c>
    </row>
    <row r="351" customFormat="false" ht="14.25" hidden="false" customHeight="false" outlineLevel="0" collapsed="false">
      <c r="A351" s="27"/>
      <c r="B351" s="28"/>
      <c r="C351" s="28"/>
      <c r="D351" s="31"/>
      <c r="E351" s="31"/>
      <c r="F351" s="31"/>
      <c r="G351" s="29" t="str">
        <f aca="false">IF(D351="","",IF(C351&gt;B351,C351-B351,C351-B351+1))</f>
        <v/>
      </c>
    </row>
    <row r="352" customFormat="false" ht="14.25" hidden="false" customHeight="false" outlineLevel="0" collapsed="false">
      <c r="A352" s="27"/>
      <c r="B352" s="28"/>
      <c r="C352" s="28"/>
      <c r="D352" s="31"/>
      <c r="E352" s="31"/>
      <c r="F352" s="31"/>
      <c r="G352" s="29" t="str">
        <f aca="false">IF(D352="","",IF(C352&gt;B352,C352-B352,C352-B352+1))</f>
        <v/>
      </c>
    </row>
    <row r="353" customFormat="false" ht="14.25" hidden="false" customHeight="false" outlineLevel="0" collapsed="false">
      <c r="A353" s="27"/>
      <c r="B353" s="28"/>
      <c r="C353" s="28"/>
      <c r="D353" s="31"/>
      <c r="E353" s="31"/>
      <c r="F353" s="31"/>
      <c r="G353" s="29" t="str">
        <f aca="false">IF(D353="","",IF(C353&gt;B353,C353-B353,C353-B353+1))</f>
        <v/>
      </c>
    </row>
    <row r="354" customFormat="false" ht="14.25" hidden="false" customHeight="false" outlineLevel="0" collapsed="false">
      <c r="A354" s="27"/>
      <c r="B354" s="28"/>
      <c r="C354" s="28"/>
      <c r="D354" s="31"/>
      <c r="E354" s="31"/>
      <c r="F354" s="31"/>
      <c r="G354" s="29" t="str">
        <f aca="false">IF(D354="","",IF(C354&gt;B354,C354-B354,C354-B354+1))</f>
        <v/>
      </c>
    </row>
    <row r="355" customFormat="false" ht="14.25" hidden="false" customHeight="false" outlineLevel="0" collapsed="false">
      <c r="A355" s="27"/>
      <c r="B355" s="28"/>
      <c r="C355" s="28"/>
      <c r="D355" s="31"/>
      <c r="E355" s="31"/>
      <c r="F355" s="31"/>
      <c r="G355" s="29" t="str">
        <f aca="false">IF(D355="","",IF(C355&gt;B355,C355-B355,C355-B355+1))</f>
        <v/>
      </c>
    </row>
    <row r="356" customFormat="false" ht="14.25" hidden="false" customHeight="false" outlineLevel="0" collapsed="false">
      <c r="A356" s="27"/>
      <c r="B356" s="28"/>
      <c r="C356" s="28"/>
      <c r="D356" s="31"/>
      <c r="E356" s="31"/>
      <c r="F356" s="31"/>
      <c r="G356" s="29" t="str">
        <f aca="false">IF(D356="","",IF(C356&gt;B356,C356-B356,C356-B356+1))</f>
        <v/>
      </c>
    </row>
    <row r="357" customFormat="false" ht="14.25" hidden="false" customHeight="false" outlineLevel="0" collapsed="false">
      <c r="A357" s="27"/>
      <c r="B357" s="28"/>
      <c r="C357" s="28"/>
      <c r="D357" s="31"/>
      <c r="E357" s="31"/>
      <c r="F357" s="31"/>
      <c r="G357" s="29" t="str">
        <f aca="false">IF(D357="","",IF(C357&gt;B357,C357-B357,C357-B357+1))</f>
        <v/>
      </c>
    </row>
    <row r="358" customFormat="false" ht="14.25" hidden="false" customHeight="false" outlineLevel="0" collapsed="false">
      <c r="A358" s="27"/>
      <c r="B358" s="28"/>
      <c r="C358" s="28"/>
      <c r="D358" s="31"/>
      <c r="E358" s="31"/>
      <c r="F358" s="31"/>
      <c r="G358" s="29" t="str">
        <f aca="false">IF(D358="","",IF(C358&gt;B358,C358-B358,C358-B358+1))</f>
        <v/>
      </c>
    </row>
    <row r="359" customFormat="false" ht="14.25" hidden="false" customHeight="false" outlineLevel="0" collapsed="false">
      <c r="A359" s="27"/>
      <c r="B359" s="28"/>
      <c r="C359" s="28"/>
      <c r="D359" s="31"/>
      <c r="E359" s="31"/>
      <c r="F359" s="31"/>
      <c r="G359" s="29" t="str">
        <f aca="false">IF(D359="","",IF(C359&gt;B359,C359-B359,C359-B359+1))</f>
        <v/>
      </c>
    </row>
    <row r="360" customFormat="false" ht="14.25" hidden="false" customHeight="false" outlineLevel="0" collapsed="false">
      <c r="A360" s="27"/>
      <c r="B360" s="28"/>
      <c r="C360" s="28"/>
      <c r="D360" s="31"/>
      <c r="E360" s="31"/>
      <c r="F360" s="31"/>
      <c r="G360" s="29" t="str">
        <f aca="false">IF(D360="","",IF(C360&gt;B360,C360-B360,C360-B360+1))</f>
        <v/>
      </c>
    </row>
    <row r="361" customFormat="false" ht="14.25" hidden="false" customHeight="false" outlineLevel="0" collapsed="false">
      <c r="A361" s="27"/>
      <c r="B361" s="28"/>
      <c r="C361" s="28"/>
      <c r="D361" s="31"/>
      <c r="E361" s="31"/>
      <c r="F361" s="31"/>
      <c r="G361" s="29" t="str">
        <f aca="false">IF(D361="","",IF(C361&gt;B361,C361-B361,C361-B361+1))</f>
        <v/>
      </c>
    </row>
    <row r="362" customFormat="false" ht="14.25" hidden="false" customHeight="false" outlineLevel="0" collapsed="false">
      <c r="A362" s="27"/>
      <c r="B362" s="28"/>
      <c r="C362" s="28"/>
      <c r="D362" s="31"/>
      <c r="E362" s="31"/>
      <c r="F362" s="31"/>
      <c r="G362" s="29" t="str">
        <f aca="false">IF(D362="","",IF(C362&gt;B362,C362-B362,C362-B362+1))</f>
        <v/>
      </c>
    </row>
    <row r="363" customFormat="false" ht="14.25" hidden="false" customHeight="false" outlineLevel="0" collapsed="false">
      <c r="A363" s="27"/>
      <c r="B363" s="28"/>
      <c r="C363" s="28"/>
      <c r="D363" s="31"/>
      <c r="E363" s="31"/>
      <c r="F363" s="31"/>
      <c r="G363" s="29" t="str">
        <f aca="false">IF(D363="","",IF(C363&gt;B363,C363-B363,C363-B363+1))</f>
        <v/>
      </c>
    </row>
    <row r="364" customFormat="false" ht="14.25" hidden="false" customHeight="false" outlineLevel="0" collapsed="false">
      <c r="A364" s="27"/>
      <c r="B364" s="28"/>
      <c r="C364" s="28"/>
      <c r="D364" s="31"/>
      <c r="E364" s="31"/>
      <c r="F364" s="31"/>
      <c r="G364" s="29" t="str">
        <f aca="false">IF(D364="","",IF(C364&gt;B364,C364-B364,C364-B364+1))</f>
        <v/>
      </c>
    </row>
    <row r="365" customFormat="false" ht="14.25" hidden="false" customHeight="false" outlineLevel="0" collapsed="false">
      <c r="A365" s="27"/>
      <c r="B365" s="28"/>
      <c r="C365" s="28"/>
      <c r="D365" s="31"/>
      <c r="E365" s="31"/>
      <c r="F365" s="31"/>
      <c r="G365" s="29" t="str">
        <f aca="false">IF(D365="","",IF(C365&gt;B365,C365-B365,C365-B365+1))</f>
        <v/>
      </c>
    </row>
    <row r="366" customFormat="false" ht="14.25" hidden="false" customHeight="false" outlineLevel="0" collapsed="false">
      <c r="A366" s="27"/>
      <c r="B366" s="28"/>
      <c r="C366" s="28"/>
      <c r="D366" s="31"/>
      <c r="E366" s="31"/>
      <c r="F366" s="31"/>
      <c r="G366" s="29" t="str">
        <f aca="false">IF(D366="","",IF(C366&gt;B366,C366-B366,C366-B366+1))</f>
        <v/>
      </c>
    </row>
    <row r="367" customFormat="false" ht="14.25" hidden="false" customHeight="false" outlineLevel="0" collapsed="false">
      <c r="A367" s="27"/>
      <c r="B367" s="28"/>
      <c r="C367" s="28"/>
      <c r="D367" s="31"/>
      <c r="E367" s="31"/>
      <c r="F367" s="31"/>
      <c r="G367" s="29" t="str">
        <f aca="false">IF(D367="","",IF(C367&gt;B367,C367-B367,C367-B367+1))</f>
        <v/>
      </c>
    </row>
    <row r="368" customFormat="false" ht="14.25" hidden="false" customHeight="false" outlineLevel="0" collapsed="false">
      <c r="A368" s="27"/>
      <c r="B368" s="28"/>
      <c r="C368" s="28"/>
      <c r="D368" s="31"/>
      <c r="E368" s="31"/>
      <c r="F368" s="31"/>
      <c r="G368" s="29" t="str">
        <f aca="false">IF(D368="","",IF(C368&gt;B368,C368-B368,C368-B368+1))</f>
        <v/>
      </c>
    </row>
    <row r="369" customFormat="false" ht="14.25" hidden="false" customHeight="false" outlineLevel="0" collapsed="false">
      <c r="A369" s="27"/>
      <c r="B369" s="28"/>
      <c r="C369" s="28"/>
      <c r="D369" s="31"/>
      <c r="E369" s="31"/>
      <c r="F369" s="31"/>
      <c r="G369" s="29" t="str">
        <f aca="false">IF(D369="","",IF(C369&gt;B369,C369-B369,C369-B369+1))</f>
        <v/>
      </c>
    </row>
    <row r="370" customFormat="false" ht="14.25" hidden="false" customHeight="false" outlineLevel="0" collapsed="false">
      <c r="A370" s="27"/>
      <c r="B370" s="28"/>
      <c r="C370" s="28"/>
      <c r="D370" s="31"/>
      <c r="E370" s="31"/>
      <c r="F370" s="31"/>
      <c r="G370" s="29" t="str">
        <f aca="false">IF(D370="","",IF(C370&gt;B370,C370-B370,C370-B370+1))</f>
        <v/>
      </c>
    </row>
    <row r="371" customFormat="false" ht="14.25" hidden="false" customHeight="false" outlineLevel="0" collapsed="false">
      <c r="A371" s="27"/>
      <c r="B371" s="28"/>
      <c r="C371" s="28"/>
      <c r="D371" s="31"/>
      <c r="E371" s="31"/>
      <c r="F371" s="31"/>
      <c r="G371" s="29" t="str">
        <f aca="false">IF(D371="","",IF(C371&gt;B371,C371-B371,C371-B371+1))</f>
        <v/>
      </c>
    </row>
    <row r="372" customFormat="false" ht="14.25" hidden="false" customHeight="false" outlineLevel="0" collapsed="false">
      <c r="A372" s="27"/>
      <c r="B372" s="28"/>
      <c r="C372" s="28"/>
      <c r="D372" s="31"/>
      <c r="E372" s="31"/>
      <c r="F372" s="31"/>
      <c r="G372" s="29" t="str">
        <f aca="false">IF(D372="","",IF(C372&gt;B372,C372-B372,C372-B372+1))</f>
        <v/>
      </c>
    </row>
    <row r="373" customFormat="false" ht="14.25" hidden="false" customHeight="false" outlineLevel="0" collapsed="false">
      <c r="A373" s="27"/>
      <c r="B373" s="28"/>
      <c r="C373" s="28"/>
      <c r="D373" s="31"/>
      <c r="E373" s="31"/>
      <c r="F373" s="31"/>
      <c r="G373" s="29" t="str">
        <f aca="false">IF(D373="","",IF(C373&gt;B373,C373-B373,C373-B373+1))</f>
        <v/>
      </c>
    </row>
    <row r="374" customFormat="false" ht="14.25" hidden="false" customHeight="false" outlineLevel="0" collapsed="false">
      <c r="A374" s="27"/>
      <c r="B374" s="28"/>
      <c r="C374" s="28"/>
      <c r="D374" s="31"/>
      <c r="E374" s="31"/>
      <c r="F374" s="31"/>
      <c r="G374" s="29" t="str">
        <f aca="false">IF(D374="","",IF(C374&gt;B374,C374-B374,C374-B374+1))</f>
        <v/>
      </c>
    </row>
    <row r="375" customFormat="false" ht="14.25" hidden="false" customHeight="false" outlineLevel="0" collapsed="false">
      <c r="A375" s="27"/>
      <c r="B375" s="28"/>
      <c r="C375" s="28"/>
      <c r="D375" s="31"/>
      <c r="E375" s="31"/>
      <c r="F375" s="31"/>
      <c r="G375" s="29" t="str">
        <f aca="false">IF(D375="","",IF(C375&gt;B375,C375-B375,C375-B375+1))</f>
        <v/>
      </c>
    </row>
    <row r="376" customFormat="false" ht="14.25" hidden="false" customHeight="false" outlineLevel="0" collapsed="false">
      <c r="A376" s="27"/>
      <c r="B376" s="28"/>
      <c r="C376" s="28"/>
      <c r="D376" s="31"/>
      <c r="E376" s="31"/>
      <c r="F376" s="31"/>
      <c r="G376" s="29" t="str">
        <f aca="false">IF(D376="","",IF(C376&gt;B376,C376-B376,C376-B376+1))</f>
        <v/>
      </c>
    </row>
    <row r="377" customFormat="false" ht="14.25" hidden="false" customHeight="false" outlineLevel="0" collapsed="false">
      <c r="A377" s="27"/>
      <c r="B377" s="28"/>
      <c r="C377" s="28"/>
      <c r="D377" s="31"/>
      <c r="E377" s="31"/>
      <c r="F377" s="31"/>
      <c r="G377" s="29" t="str">
        <f aca="false">IF(D377="","",IF(C377&gt;B377,C377-B377,C377-B377+1))</f>
        <v/>
      </c>
    </row>
    <row r="378" customFormat="false" ht="14.25" hidden="false" customHeight="false" outlineLevel="0" collapsed="false">
      <c r="A378" s="27"/>
      <c r="B378" s="28"/>
      <c r="C378" s="28"/>
      <c r="D378" s="31"/>
      <c r="E378" s="31"/>
      <c r="F378" s="31"/>
      <c r="G378" s="29" t="str">
        <f aca="false">IF(D378="","",IF(C378&gt;B378,C378-B378,C378-B378+1))</f>
        <v/>
      </c>
    </row>
    <row r="379" customFormat="false" ht="14.25" hidden="false" customHeight="false" outlineLevel="0" collapsed="false">
      <c r="A379" s="27"/>
      <c r="B379" s="28"/>
      <c r="C379" s="28"/>
      <c r="D379" s="31"/>
      <c r="E379" s="31"/>
      <c r="F379" s="31"/>
      <c r="G379" s="29" t="str">
        <f aca="false">IF(D379="","",IF(C379&gt;B379,C379-B379,C379-B379+1))</f>
        <v/>
      </c>
    </row>
    <row r="380" customFormat="false" ht="14.25" hidden="false" customHeight="false" outlineLevel="0" collapsed="false">
      <c r="A380" s="27"/>
      <c r="B380" s="28"/>
      <c r="C380" s="28"/>
      <c r="D380" s="31"/>
      <c r="E380" s="31"/>
      <c r="F380" s="31"/>
      <c r="G380" s="29" t="str">
        <f aca="false">IF(D380="","",IF(C380&gt;B380,C380-B380,C380-B380+1))</f>
        <v/>
      </c>
    </row>
    <row r="381" customFormat="false" ht="14.25" hidden="false" customHeight="false" outlineLevel="0" collapsed="false">
      <c r="A381" s="27"/>
      <c r="B381" s="28"/>
      <c r="C381" s="28"/>
      <c r="D381" s="31"/>
      <c r="E381" s="31"/>
      <c r="F381" s="31"/>
      <c r="G381" s="29" t="str">
        <f aca="false">IF(D381="","",IF(C381&gt;B381,C381-B381,C381-B381+1))</f>
        <v/>
      </c>
    </row>
    <row r="382" customFormat="false" ht="14.25" hidden="false" customHeight="false" outlineLevel="0" collapsed="false">
      <c r="A382" s="27"/>
      <c r="B382" s="28"/>
      <c r="C382" s="28"/>
      <c r="D382" s="31"/>
      <c r="E382" s="31"/>
      <c r="F382" s="31"/>
      <c r="G382" s="29" t="str">
        <f aca="false">IF(D382="","",IF(C382&gt;B382,C382-B382,C382-B382+1))</f>
        <v/>
      </c>
    </row>
    <row r="383" customFormat="false" ht="14.25" hidden="false" customHeight="false" outlineLevel="0" collapsed="false">
      <c r="A383" s="27"/>
      <c r="B383" s="28"/>
      <c r="C383" s="28"/>
      <c r="D383" s="31"/>
      <c r="E383" s="31"/>
      <c r="F383" s="31"/>
      <c r="G383" s="29" t="str">
        <f aca="false">IF(D383="","",IF(C383&gt;B383,C383-B383,C383-B383+1))</f>
        <v/>
      </c>
    </row>
    <row r="384" customFormat="false" ht="14.25" hidden="false" customHeight="false" outlineLevel="0" collapsed="false">
      <c r="A384" s="27"/>
      <c r="B384" s="28"/>
      <c r="C384" s="28"/>
      <c r="D384" s="31"/>
      <c r="E384" s="31"/>
      <c r="F384" s="31"/>
      <c r="G384" s="29" t="str">
        <f aca="false">IF(D384="","",IF(C384&gt;B384,C384-B384,C384-B384+1))</f>
        <v/>
      </c>
    </row>
    <row r="385" customFormat="false" ht="14.25" hidden="false" customHeight="false" outlineLevel="0" collapsed="false">
      <c r="A385" s="27"/>
      <c r="B385" s="28"/>
      <c r="C385" s="28"/>
      <c r="D385" s="31"/>
      <c r="E385" s="31"/>
      <c r="F385" s="31"/>
      <c r="G385" s="29" t="str">
        <f aca="false">IF(D385="","",IF(C385&gt;B385,C385-B385,C385-B385+1))</f>
        <v/>
      </c>
    </row>
    <row r="386" customFormat="false" ht="14.25" hidden="false" customHeight="false" outlineLevel="0" collapsed="false">
      <c r="A386" s="27"/>
      <c r="B386" s="28"/>
      <c r="C386" s="28"/>
      <c r="D386" s="31"/>
      <c r="E386" s="31"/>
      <c r="F386" s="31"/>
      <c r="G386" s="29" t="str">
        <f aca="false">IF(D386="","",IF(C386&gt;B386,C386-B386,C386-B386+1))</f>
        <v/>
      </c>
    </row>
    <row r="387" customFormat="false" ht="14.25" hidden="false" customHeight="false" outlineLevel="0" collapsed="false">
      <c r="A387" s="27"/>
      <c r="B387" s="28"/>
      <c r="C387" s="28"/>
      <c r="D387" s="31"/>
      <c r="E387" s="31"/>
      <c r="F387" s="31"/>
      <c r="G387" s="29" t="str">
        <f aca="false">IF(D387="","",IF(C387&gt;B387,C387-B387,C387-B387+1))</f>
        <v/>
      </c>
    </row>
    <row r="388" customFormat="false" ht="14.25" hidden="false" customHeight="false" outlineLevel="0" collapsed="false">
      <c r="A388" s="27"/>
      <c r="B388" s="28"/>
      <c r="C388" s="28"/>
      <c r="D388" s="31"/>
      <c r="E388" s="31"/>
      <c r="F388" s="31"/>
      <c r="G388" s="29" t="str">
        <f aca="false">IF(D388="","",IF(C388&gt;B388,C388-B388,C388-B388+1))</f>
        <v/>
      </c>
    </row>
    <row r="389" customFormat="false" ht="14.25" hidden="false" customHeight="false" outlineLevel="0" collapsed="false">
      <c r="A389" s="27"/>
      <c r="B389" s="28"/>
      <c r="C389" s="28"/>
      <c r="D389" s="31"/>
      <c r="E389" s="31"/>
      <c r="F389" s="31"/>
      <c r="G389" s="29" t="str">
        <f aca="false">IF(D389="","",IF(C389&gt;B389,C389-B389,C389-B389+1))</f>
        <v/>
      </c>
    </row>
    <row r="390" customFormat="false" ht="14.25" hidden="false" customHeight="false" outlineLevel="0" collapsed="false">
      <c r="A390" s="27"/>
      <c r="B390" s="28"/>
      <c r="C390" s="28"/>
      <c r="D390" s="31"/>
      <c r="E390" s="31"/>
      <c r="F390" s="31"/>
      <c r="G390" s="29" t="str">
        <f aca="false">IF(D390="","",IF(C390&gt;B390,C390-B390,C390-B390+1))</f>
        <v/>
      </c>
    </row>
    <row r="391" customFormat="false" ht="14.25" hidden="false" customHeight="false" outlineLevel="0" collapsed="false">
      <c r="A391" s="27"/>
      <c r="B391" s="28"/>
      <c r="C391" s="28"/>
      <c r="D391" s="31"/>
      <c r="E391" s="31"/>
      <c r="F391" s="31"/>
      <c r="G391" s="29" t="str">
        <f aca="false">IF(D391="","",IF(C391&gt;B391,C391-B391,C391-B391+1))</f>
        <v/>
      </c>
    </row>
    <row r="392" customFormat="false" ht="14.25" hidden="false" customHeight="false" outlineLevel="0" collapsed="false">
      <c r="A392" s="27"/>
      <c r="B392" s="28"/>
      <c r="C392" s="28"/>
      <c r="D392" s="31"/>
      <c r="E392" s="31"/>
      <c r="F392" s="31"/>
      <c r="G392" s="29" t="str">
        <f aca="false">IF(D392="","",IF(C392&gt;B392,C392-B392,C392-B392+1))</f>
        <v/>
      </c>
    </row>
    <row r="393" customFormat="false" ht="14.25" hidden="false" customHeight="false" outlineLevel="0" collapsed="false">
      <c r="A393" s="27"/>
      <c r="B393" s="28"/>
      <c r="C393" s="28"/>
      <c r="D393" s="31"/>
      <c r="E393" s="31"/>
      <c r="F393" s="31"/>
      <c r="G393" s="29" t="str">
        <f aca="false">IF(D393="","",IF(C393&gt;B393,C393-B393,C393-B393+1))</f>
        <v/>
      </c>
    </row>
    <row r="394" customFormat="false" ht="14.25" hidden="false" customHeight="false" outlineLevel="0" collapsed="false">
      <c r="A394" s="27"/>
      <c r="B394" s="28"/>
      <c r="C394" s="28"/>
      <c r="D394" s="31"/>
      <c r="E394" s="31"/>
      <c r="F394" s="31"/>
      <c r="G394" s="29" t="str">
        <f aca="false">IF(D394="","",IF(C394&gt;B394,C394-B394,C394-B394+1))</f>
        <v/>
      </c>
    </row>
    <row r="395" customFormat="false" ht="14.25" hidden="false" customHeight="false" outlineLevel="0" collapsed="false">
      <c r="A395" s="27"/>
      <c r="B395" s="28"/>
      <c r="C395" s="28"/>
      <c r="D395" s="31"/>
      <c r="E395" s="31"/>
      <c r="F395" s="31"/>
      <c r="G395" s="29" t="str">
        <f aca="false">IF(D395="","",IF(C395&gt;B395,C395-B395,C395-B395+1))</f>
        <v/>
      </c>
    </row>
    <row r="396" customFormat="false" ht="14.25" hidden="false" customHeight="false" outlineLevel="0" collapsed="false">
      <c r="A396" s="27"/>
      <c r="B396" s="28"/>
      <c r="C396" s="28"/>
      <c r="D396" s="31"/>
      <c r="E396" s="31"/>
      <c r="F396" s="31"/>
      <c r="G396" s="29" t="str">
        <f aca="false">IF(D396="","",IF(C396&gt;B396,C396-B396,C396-B396+1))</f>
        <v/>
      </c>
    </row>
    <row r="397" customFormat="false" ht="14.25" hidden="false" customHeight="false" outlineLevel="0" collapsed="false">
      <c r="A397" s="27"/>
      <c r="B397" s="28"/>
      <c r="C397" s="28"/>
      <c r="D397" s="31"/>
      <c r="E397" s="31"/>
      <c r="F397" s="31"/>
      <c r="G397" s="29" t="str">
        <f aca="false">IF(D397="","",IF(C397&gt;B397,C397-B397,C397-B397+1))</f>
        <v/>
      </c>
    </row>
    <row r="398" customFormat="false" ht="14.25" hidden="false" customHeight="false" outlineLevel="0" collapsed="false">
      <c r="A398" s="27"/>
      <c r="B398" s="28"/>
      <c r="C398" s="28"/>
      <c r="D398" s="31"/>
      <c r="E398" s="31"/>
      <c r="F398" s="31"/>
      <c r="G398" s="29" t="str">
        <f aca="false">IF(D398="","",IF(C398&gt;B398,C398-B398,C398-B398+1))</f>
        <v/>
      </c>
    </row>
    <row r="399" customFormat="false" ht="14.25" hidden="false" customHeight="false" outlineLevel="0" collapsed="false">
      <c r="A399" s="27"/>
      <c r="B399" s="28"/>
      <c r="C399" s="28"/>
      <c r="D399" s="31"/>
      <c r="E399" s="31"/>
      <c r="F399" s="31"/>
      <c r="G399" s="29" t="str">
        <f aca="false">IF(D399="","",IF(C399&gt;B399,C399-B399,C399-B399+1))</f>
        <v/>
      </c>
    </row>
    <row r="400" customFormat="false" ht="14.25" hidden="false" customHeight="false" outlineLevel="0" collapsed="false">
      <c r="A400" s="27"/>
      <c r="B400" s="28"/>
      <c r="C400" s="28"/>
      <c r="D400" s="31"/>
      <c r="E400" s="31"/>
      <c r="F400" s="31"/>
      <c r="G400" s="29" t="str">
        <f aca="false">IF(D400="","",IF(C400&gt;B400,C400-B400,C400-B400+1))</f>
        <v/>
      </c>
    </row>
    <row r="401" customFormat="false" ht="14.25" hidden="false" customHeight="false" outlineLevel="0" collapsed="false">
      <c r="A401" s="27"/>
      <c r="B401" s="28"/>
      <c r="C401" s="28"/>
      <c r="D401" s="31"/>
      <c r="E401" s="31"/>
      <c r="F401" s="31"/>
      <c r="G401" s="29" t="str">
        <f aca="false">IF(D401="","",IF(C401&gt;B401,C401-B401,C401-B401+1))</f>
        <v/>
      </c>
    </row>
    <row r="402" customFormat="false" ht="14.25" hidden="false" customHeight="false" outlineLevel="0" collapsed="false">
      <c r="A402" s="27"/>
      <c r="B402" s="28"/>
      <c r="C402" s="28"/>
      <c r="D402" s="31"/>
      <c r="E402" s="31"/>
      <c r="F402" s="31"/>
      <c r="G402" s="29" t="str">
        <f aca="false">IF(D402="","",IF(C402&gt;B402,C402-B402,C402-B402+1))</f>
        <v/>
      </c>
    </row>
    <row r="403" customFormat="false" ht="14.25" hidden="false" customHeight="false" outlineLevel="0" collapsed="false">
      <c r="A403" s="27"/>
      <c r="B403" s="28"/>
      <c r="C403" s="28"/>
      <c r="D403" s="31"/>
      <c r="E403" s="31"/>
      <c r="F403" s="31"/>
      <c r="G403" s="29" t="str">
        <f aca="false">IF(D403="","",IF(C403&gt;B403,C403-B403,C403-B403+1))</f>
        <v/>
      </c>
    </row>
    <row r="404" customFormat="false" ht="14.25" hidden="false" customHeight="false" outlineLevel="0" collapsed="false">
      <c r="A404" s="27"/>
      <c r="B404" s="28"/>
      <c r="C404" s="28"/>
      <c r="D404" s="31"/>
      <c r="E404" s="31"/>
      <c r="F404" s="31"/>
      <c r="G404" s="29" t="str">
        <f aca="false">IF(D404="","",IF(C404&gt;B404,C404-B404,C404-B404+1))</f>
        <v/>
      </c>
    </row>
    <row r="405" customFormat="false" ht="14.25" hidden="false" customHeight="false" outlineLevel="0" collapsed="false">
      <c r="A405" s="27"/>
      <c r="B405" s="28"/>
      <c r="C405" s="28"/>
      <c r="D405" s="31"/>
      <c r="E405" s="31"/>
      <c r="F405" s="31"/>
      <c r="G405" s="29" t="str">
        <f aca="false">IF(D405="","",IF(C405&gt;B405,C405-B405,C405-B405+1))</f>
        <v/>
      </c>
    </row>
    <row r="406" customFormat="false" ht="14.25" hidden="false" customHeight="false" outlineLevel="0" collapsed="false">
      <c r="A406" s="27"/>
      <c r="B406" s="28"/>
      <c r="C406" s="28"/>
      <c r="D406" s="31"/>
      <c r="E406" s="31"/>
      <c r="F406" s="31"/>
      <c r="G406" s="29" t="str">
        <f aca="false">IF(D406="","",IF(C406&gt;B406,C406-B406,C406-B406+1))</f>
        <v/>
      </c>
    </row>
    <row r="407" customFormat="false" ht="14.25" hidden="false" customHeight="false" outlineLevel="0" collapsed="false">
      <c r="A407" s="27"/>
      <c r="B407" s="28"/>
      <c r="C407" s="28"/>
      <c r="D407" s="31"/>
      <c r="E407" s="31"/>
      <c r="F407" s="31"/>
      <c r="G407" s="29" t="str">
        <f aca="false">IF(D407="","",IF(C407&gt;B407,C407-B407,C407-B407+1))</f>
        <v/>
      </c>
    </row>
    <row r="408" customFormat="false" ht="14.25" hidden="false" customHeight="false" outlineLevel="0" collapsed="false">
      <c r="A408" s="27"/>
      <c r="B408" s="28"/>
      <c r="C408" s="28"/>
      <c r="D408" s="31"/>
      <c r="E408" s="31"/>
      <c r="F408" s="31"/>
      <c r="G408" s="29" t="str">
        <f aca="false">IF(D408="","",IF(C408&gt;B408,C408-B408,C408-B408+1))</f>
        <v/>
      </c>
    </row>
    <row r="409" customFormat="false" ht="14.25" hidden="false" customHeight="false" outlineLevel="0" collapsed="false">
      <c r="A409" s="27"/>
      <c r="B409" s="28"/>
      <c r="C409" s="28"/>
      <c r="D409" s="31"/>
      <c r="E409" s="31"/>
      <c r="F409" s="31"/>
      <c r="G409" s="29" t="str">
        <f aca="false">IF(D409="","",IF(C409&gt;B409,C409-B409,C409-B409+1))</f>
        <v/>
      </c>
    </row>
    <row r="410" customFormat="false" ht="14.25" hidden="false" customHeight="false" outlineLevel="0" collapsed="false">
      <c r="A410" s="27"/>
      <c r="B410" s="28"/>
      <c r="C410" s="28"/>
      <c r="D410" s="31"/>
      <c r="E410" s="31"/>
      <c r="F410" s="31"/>
      <c r="G410" s="29" t="str">
        <f aca="false">IF(D410="","",IF(C410&gt;B410,C410-B410,C410-B410+1))</f>
        <v/>
      </c>
    </row>
    <row r="411" customFormat="false" ht="14.25" hidden="false" customHeight="false" outlineLevel="0" collapsed="false">
      <c r="A411" s="27"/>
      <c r="B411" s="28"/>
      <c r="C411" s="28"/>
      <c r="D411" s="31"/>
      <c r="E411" s="31"/>
      <c r="F411" s="31"/>
      <c r="G411" s="29" t="str">
        <f aca="false">IF(D411="","",IF(C411&gt;B411,C411-B411,C411-B411+1))</f>
        <v/>
      </c>
    </row>
    <row r="412" customFormat="false" ht="14.25" hidden="false" customHeight="false" outlineLevel="0" collapsed="false">
      <c r="A412" s="27"/>
      <c r="B412" s="28"/>
      <c r="C412" s="28"/>
      <c r="D412" s="31"/>
      <c r="E412" s="31"/>
      <c r="F412" s="31"/>
      <c r="G412" s="29" t="str">
        <f aca="false">IF(D412="","",IF(C412&gt;B412,C412-B412,C412-B412+1))</f>
        <v/>
      </c>
    </row>
    <row r="413" customFormat="false" ht="14.25" hidden="false" customHeight="false" outlineLevel="0" collapsed="false">
      <c r="A413" s="27"/>
      <c r="B413" s="28"/>
      <c r="C413" s="28"/>
      <c r="D413" s="31"/>
      <c r="E413" s="31"/>
      <c r="F413" s="31"/>
      <c r="G413" s="29" t="str">
        <f aca="false">IF(D413="","",IF(C413&gt;B413,C413-B413,C413-B413+1))</f>
        <v/>
      </c>
    </row>
    <row r="414" customFormat="false" ht="14.25" hidden="false" customHeight="false" outlineLevel="0" collapsed="false">
      <c r="A414" s="27"/>
      <c r="B414" s="28"/>
      <c r="C414" s="28"/>
      <c r="D414" s="31"/>
      <c r="E414" s="31"/>
      <c r="F414" s="31"/>
      <c r="G414" s="29" t="str">
        <f aca="false">IF(D414="","",IF(C414&gt;B414,C414-B414,C414-B414+1))</f>
        <v/>
      </c>
    </row>
    <row r="415" customFormat="false" ht="14.25" hidden="false" customHeight="false" outlineLevel="0" collapsed="false">
      <c r="A415" s="27"/>
      <c r="B415" s="28"/>
      <c r="C415" s="28"/>
      <c r="D415" s="31"/>
      <c r="E415" s="31"/>
      <c r="F415" s="31"/>
      <c r="G415" s="29" t="str">
        <f aca="false">IF(D415="","",IF(C415&gt;B415,C415-B415,C415-B415+1))</f>
        <v/>
      </c>
    </row>
    <row r="416" customFormat="false" ht="14.25" hidden="false" customHeight="false" outlineLevel="0" collapsed="false">
      <c r="A416" s="27"/>
      <c r="B416" s="28"/>
      <c r="C416" s="28"/>
      <c r="D416" s="31"/>
      <c r="E416" s="31"/>
      <c r="F416" s="31"/>
      <c r="G416" s="29" t="str">
        <f aca="false">IF(D416="","",IF(C416&gt;B416,C416-B416,C416-B416+1))</f>
        <v/>
      </c>
    </row>
    <row r="417" customFormat="false" ht="14.25" hidden="false" customHeight="false" outlineLevel="0" collapsed="false">
      <c r="A417" s="27"/>
      <c r="B417" s="28"/>
      <c r="C417" s="28"/>
      <c r="D417" s="31"/>
      <c r="E417" s="31"/>
      <c r="F417" s="31"/>
      <c r="G417" s="29" t="str">
        <f aca="false">IF(D417="","",IF(C417&gt;B417,C417-B417,C417-B417+1))</f>
        <v/>
      </c>
    </row>
    <row r="418" customFormat="false" ht="14.25" hidden="false" customHeight="false" outlineLevel="0" collapsed="false">
      <c r="A418" s="27"/>
      <c r="B418" s="28"/>
      <c r="C418" s="28"/>
      <c r="D418" s="31"/>
      <c r="E418" s="31"/>
      <c r="F418" s="31"/>
      <c r="G418" s="29" t="str">
        <f aca="false">IF(D418="","",IF(C418&gt;B418,C418-B418,C418-B418+1))</f>
        <v/>
      </c>
    </row>
    <row r="419" customFormat="false" ht="14.25" hidden="false" customHeight="false" outlineLevel="0" collapsed="false">
      <c r="A419" s="27"/>
      <c r="B419" s="28"/>
      <c r="C419" s="28"/>
      <c r="D419" s="31"/>
      <c r="E419" s="31"/>
      <c r="F419" s="31"/>
      <c r="G419" s="29" t="str">
        <f aca="false">IF(D419="","",IF(C419&gt;B419,C419-B419,C419-B419+1))</f>
        <v/>
      </c>
    </row>
    <row r="420" customFormat="false" ht="14.25" hidden="false" customHeight="false" outlineLevel="0" collapsed="false">
      <c r="A420" s="27"/>
      <c r="B420" s="28"/>
      <c r="C420" s="28"/>
      <c r="D420" s="31"/>
      <c r="E420" s="31"/>
      <c r="F420" s="31"/>
      <c r="G420" s="29" t="str">
        <f aca="false">IF(D420="","",IF(C420&gt;B420,C420-B420,C420-B420+1))</f>
        <v/>
      </c>
    </row>
    <row r="421" customFormat="false" ht="14.25" hidden="false" customHeight="false" outlineLevel="0" collapsed="false">
      <c r="A421" s="27"/>
      <c r="B421" s="28"/>
      <c r="C421" s="28"/>
      <c r="D421" s="31"/>
      <c r="E421" s="31"/>
      <c r="F421" s="31"/>
      <c r="G421" s="29" t="str">
        <f aca="false">IF(D421="","",IF(C421&gt;B421,C421-B421,C421-B421+1))</f>
        <v/>
      </c>
    </row>
    <row r="422" customFormat="false" ht="14.25" hidden="false" customHeight="false" outlineLevel="0" collapsed="false">
      <c r="A422" s="27"/>
      <c r="B422" s="28"/>
      <c r="C422" s="28"/>
      <c r="D422" s="31"/>
      <c r="E422" s="31"/>
      <c r="F422" s="31"/>
      <c r="G422" s="29" t="str">
        <f aca="false">IF(D422="","",IF(C422&gt;B422,C422-B422,C422-B422+1))</f>
        <v/>
      </c>
    </row>
    <row r="423" customFormat="false" ht="14.25" hidden="false" customHeight="false" outlineLevel="0" collapsed="false">
      <c r="A423" s="27"/>
      <c r="B423" s="28"/>
      <c r="C423" s="28"/>
      <c r="D423" s="31"/>
      <c r="E423" s="31"/>
      <c r="F423" s="31"/>
      <c r="G423" s="29" t="str">
        <f aca="false">IF(D423="","",IF(C423&gt;B423,C423-B423,C423-B423+1))</f>
        <v/>
      </c>
    </row>
    <row r="424" customFormat="false" ht="14.25" hidden="false" customHeight="false" outlineLevel="0" collapsed="false">
      <c r="A424" s="27"/>
      <c r="B424" s="28"/>
      <c r="C424" s="28"/>
      <c r="D424" s="31"/>
      <c r="E424" s="31"/>
      <c r="F424" s="31"/>
      <c r="G424" s="29" t="str">
        <f aca="false">IF(D424="","",IF(C424&gt;B424,C424-B424,C424-B424+1))</f>
        <v/>
      </c>
    </row>
    <row r="425" customFormat="false" ht="14.25" hidden="false" customHeight="false" outlineLevel="0" collapsed="false">
      <c r="A425" s="27"/>
      <c r="B425" s="28"/>
      <c r="C425" s="28"/>
      <c r="D425" s="31"/>
      <c r="E425" s="31"/>
      <c r="F425" s="31"/>
      <c r="G425" s="29" t="str">
        <f aca="false">IF(D425="","",IF(C425&gt;B425,C425-B425,C425-B425+1))</f>
        <v/>
      </c>
    </row>
    <row r="426" customFormat="false" ht="14.25" hidden="false" customHeight="false" outlineLevel="0" collapsed="false">
      <c r="A426" s="27"/>
      <c r="B426" s="28"/>
      <c r="C426" s="28"/>
      <c r="D426" s="31"/>
      <c r="E426" s="31"/>
      <c r="F426" s="31"/>
      <c r="G426" s="29" t="str">
        <f aca="false">IF(D426="","",IF(C426&gt;B426,C426-B426,C426-B426+1))</f>
        <v/>
      </c>
    </row>
    <row r="427" customFormat="false" ht="14.25" hidden="false" customHeight="false" outlineLevel="0" collapsed="false">
      <c r="A427" s="27"/>
      <c r="B427" s="28"/>
      <c r="C427" s="28"/>
      <c r="D427" s="31"/>
      <c r="E427" s="31"/>
      <c r="F427" s="31"/>
      <c r="G427" s="29" t="str">
        <f aca="false">IF(D427="","",IF(C427&gt;B427,C427-B427,C427-B427+1))</f>
        <v/>
      </c>
    </row>
    <row r="428" customFormat="false" ht="14.25" hidden="false" customHeight="false" outlineLevel="0" collapsed="false">
      <c r="A428" s="27"/>
      <c r="B428" s="28"/>
      <c r="C428" s="28"/>
      <c r="D428" s="31"/>
      <c r="E428" s="31"/>
      <c r="F428" s="31"/>
      <c r="G428" s="29" t="str">
        <f aca="false">IF(D428="","",IF(C428&gt;B428,C428-B428,C428-B428+1))</f>
        <v/>
      </c>
    </row>
    <row r="429" customFormat="false" ht="14.25" hidden="false" customHeight="false" outlineLevel="0" collapsed="false">
      <c r="A429" s="27"/>
      <c r="B429" s="28"/>
      <c r="C429" s="28"/>
      <c r="D429" s="31"/>
      <c r="E429" s="31"/>
      <c r="F429" s="31"/>
      <c r="G429" s="29" t="str">
        <f aca="false">IF(D429="","",IF(C429&gt;B429,C429-B429,C429-B429+1))</f>
        <v/>
      </c>
    </row>
    <row r="430" customFormat="false" ht="14.25" hidden="false" customHeight="false" outlineLevel="0" collapsed="false">
      <c r="A430" s="27"/>
      <c r="B430" s="28"/>
      <c r="C430" s="28"/>
      <c r="D430" s="31"/>
      <c r="E430" s="31"/>
      <c r="F430" s="31"/>
      <c r="G430" s="29" t="str">
        <f aca="false">IF(D430="","",IF(C430&gt;B430,C430-B430,C430-B430+1))</f>
        <v/>
      </c>
    </row>
    <row r="431" customFormat="false" ht="14.25" hidden="false" customHeight="false" outlineLevel="0" collapsed="false">
      <c r="A431" s="27"/>
      <c r="B431" s="28"/>
      <c r="C431" s="28"/>
      <c r="D431" s="31"/>
      <c r="E431" s="31"/>
      <c r="F431" s="31"/>
      <c r="G431" s="29" t="str">
        <f aca="false">IF(D431="","",IF(C431&gt;B431,C431-B431,C431-B431+1))</f>
        <v/>
      </c>
    </row>
    <row r="432" customFormat="false" ht="14.25" hidden="false" customHeight="false" outlineLevel="0" collapsed="false">
      <c r="A432" s="27"/>
      <c r="B432" s="28"/>
      <c r="C432" s="28"/>
      <c r="D432" s="31"/>
      <c r="E432" s="31"/>
      <c r="F432" s="31"/>
      <c r="G432" s="29" t="str">
        <f aca="false">IF(D432="","",IF(C432&gt;B432,C432-B432,C432-B432+1))</f>
        <v/>
      </c>
    </row>
    <row r="433" customFormat="false" ht="14.25" hidden="false" customHeight="false" outlineLevel="0" collapsed="false">
      <c r="A433" s="27"/>
      <c r="B433" s="28"/>
      <c r="C433" s="28"/>
      <c r="D433" s="31"/>
      <c r="E433" s="31"/>
      <c r="F433" s="31"/>
      <c r="G433" s="29" t="str">
        <f aca="false">IF(D433="","",IF(C433&gt;B433,C433-B433,C433-B433+1))</f>
        <v/>
      </c>
    </row>
    <row r="434" customFormat="false" ht="14.25" hidden="false" customHeight="false" outlineLevel="0" collapsed="false">
      <c r="A434" s="27"/>
      <c r="B434" s="28"/>
      <c r="C434" s="28"/>
      <c r="D434" s="31"/>
      <c r="E434" s="31"/>
      <c r="F434" s="31"/>
      <c r="G434" s="29" t="str">
        <f aca="false">IF(D434="","",IF(C434&gt;B434,C434-B434,C434-B434+1))</f>
        <v/>
      </c>
    </row>
    <row r="435" customFormat="false" ht="14.25" hidden="false" customHeight="false" outlineLevel="0" collapsed="false">
      <c r="A435" s="27"/>
      <c r="B435" s="28"/>
      <c r="C435" s="28"/>
      <c r="D435" s="31"/>
      <c r="E435" s="31"/>
      <c r="F435" s="31"/>
      <c r="G435" s="29" t="str">
        <f aca="false">IF(D435="","",IF(C435&gt;B435,C435-B435,C435-B435+1))</f>
        <v/>
      </c>
    </row>
    <row r="436" customFormat="false" ht="14.25" hidden="false" customHeight="false" outlineLevel="0" collapsed="false">
      <c r="A436" s="27"/>
      <c r="B436" s="28"/>
      <c r="C436" s="28"/>
      <c r="D436" s="31"/>
      <c r="E436" s="31"/>
      <c r="F436" s="31"/>
      <c r="G436" s="29" t="str">
        <f aca="false">IF(D436="","",IF(C436&gt;B436,C436-B436,C436-B436+1))</f>
        <v/>
      </c>
    </row>
    <row r="437" customFormat="false" ht="14.25" hidden="false" customHeight="false" outlineLevel="0" collapsed="false">
      <c r="A437" s="27"/>
      <c r="B437" s="28"/>
      <c r="C437" s="28"/>
      <c r="D437" s="31"/>
      <c r="E437" s="31"/>
      <c r="F437" s="31"/>
      <c r="G437" s="29" t="str">
        <f aca="false">IF(D437="","",IF(C437&gt;B437,C437-B437,C437-B437+1))</f>
        <v/>
      </c>
    </row>
    <row r="438" customFormat="false" ht="14.25" hidden="false" customHeight="false" outlineLevel="0" collapsed="false">
      <c r="A438" s="27"/>
      <c r="B438" s="28"/>
      <c r="C438" s="28"/>
      <c r="D438" s="31"/>
      <c r="E438" s="31"/>
      <c r="F438" s="31"/>
      <c r="G438" s="29" t="str">
        <f aca="false">IF(D438="","",IF(C438&gt;B438,C438-B438,C438-B438+1))</f>
        <v/>
      </c>
    </row>
    <row r="439" customFormat="false" ht="14.25" hidden="false" customHeight="false" outlineLevel="0" collapsed="false">
      <c r="A439" s="27"/>
      <c r="B439" s="28"/>
      <c r="C439" s="28"/>
      <c r="D439" s="31"/>
      <c r="E439" s="31"/>
      <c r="F439" s="31"/>
      <c r="G439" s="29" t="str">
        <f aca="false">IF(D439="","",IF(C439&gt;B439,C439-B439,C439-B439+1))</f>
        <v/>
      </c>
    </row>
    <row r="440" customFormat="false" ht="14.25" hidden="false" customHeight="false" outlineLevel="0" collapsed="false">
      <c r="A440" s="27"/>
      <c r="B440" s="28"/>
      <c r="C440" s="28"/>
      <c r="D440" s="31"/>
      <c r="E440" s="31"/>
      <c r="F440" s="31"/>
      <c r="G440" s="29" t="str">
        <f aca="false">IF(D440="","",IF(C440&gt;B440,C440-B440,C440-B440+1))</f>
        <v/>
      </c>
    </row>
    <row r="441" customFormat="false" ht="14.25" hidden="false" customHeight="false" outlineLevel="0" collapsed="false">
      <c r="A441" s="27"/>
      <c r="B441" s="28"/>
      <c r="C441" s="28"/>
      <c r="D441" s="31"/>
      <c r="E441" s="31"/>
      <c r="F441" s="31"/>
      <c r="G441" s="29" t="str">
        <f aca="false">IF(D441="","",IF(C441&gt;B441,C441-B441,C441-B441+1))</f>
        <v/>
      </c>
    </row>
    <row r="442" customFormat="false" ht="14.25" hidden="false" customHeight="false" outlineLevel="0" collapsed="false">
      <c r="A442" s="27"/>
      <c r="B442" s="28"/>
      <c r="C442" s="28"/>
      <c r="D442" s="31"/>
      <c r="E442" s="31"/>
      <c r="F442" s="31"/>
      <c r="G442" s="29" t="str">
        <f aca="false">IF(D442="","",IF(C442&gt;B442,C442-B442,C442-B442+1))</f>
        <v/>
      </c>
    </row>
    <row r="443" customFormat="false" ht="14.25" hidden="false" customHeight="false" outlineLevel="0" collapsed="false">
      <c r="A443" s="27"/>
      <c r="B443" s="28"/>
      <c r="C443" s="28"/>
      <c r="D443" s="31"/>
      <c r="E443" s="31"/>
      <c r="F443" s="31"/>
      <c r="G443" s="29" t="str">
        <f aca="false">IF(D443="","",IF(C443&gt;B443,C443-B443,C443-B443+1))</f>
        <v/>
      </c>
    </row>
    <row r="444" customFormat="false" ht="14.25" hidden="false" customHeight="false" outlineLevel="0" collapsed="false">
      <c r="A444" s="27"/>
      <c r="B444" s="28"/>
      <c r="C444" s="28"/>
      <c r="D444" s="31"/>
      <c r="E444" s="31"/>
      <c r="F444" s="31"/>
      <c r="G444" s="29" t="str">
        <f aca="false">IF(D444="","",IF(C444&gt;B444,C444-B444,C444-B444+1))</f>
        <v/>
      </c>
    </row>
    <row r="445" customFormat="false" ht="14.25" hidden="false" customHeight="false" outlineLevel="0" collapsed="false">
      <c r="A445" s="27"/>
      <c r="B445" s="28"/>
      <c r="C445" s="28"/>
      <c r="D445" s="31"/>
      <c r="E445" s="31"/>
      <c r="F445" s="31"/>
      <c r="G445" s="29" t="str">
        <f aca="false">IF(D445="","",IF(C445&gt;B445,C445-B445,C445-B445+1))</f>
        <v/>
      </c>
    </row>
    <row r="446" customFormat="false" ht="14.25" hidden="false" customHeight="false" outlineLevel="0" collapsed="false">
      <c r="A446" s="27"/>
      <c r="B446" s="28"/>
      <c r="C446" s="28"/>
      <c r="D446" s="31"/>
      <c r="E446" s="31"/>
      <c r="F446" s="31"/>
      <c r="G446" s="29" t="str">
        <f aca="false">IF(D446="","",IF(C446&gt;B446,C446-B446,C446-B446+1))</f>
        <v/>
      </c>
    </row>
    <row r="447" customFormat="false" ht="14.25" hidden="false" customHeight="false" outlineLevel="0" collapsed="false">
      <c r="A447" s="27"/>
      <c r="B447" s="28"/>
      <c r="C447" s="28"/>
      <c r="D447" s="31"/>
      <c r="E447" s="31"/>
      <c r="F447" s="31"/>
      <c r="G447" s="29" t="str">
        <f aca="false">IF(D447="","",IF(C447&gt;B447,C447-B447,C447-B447+1))</f>
        <v/>
      </c>
    </row>
    <row r="448" customFormat="false" ht="14.25" hidden="false" customHeight="false" outlineLevel="0" collapsed="false">
      <c r="A448" s="27"/>
      <c r="B448" s="28"/>
      <c r="C448" s="28"/>
      <c r="D448" s="31"/>
      <c r="E448" s="31"/>
      <c r="F448" s="31"/>
      <c r="G448" s="29" t="str">
        <f aca="false">IF(D448="","",IF(C448&gt;B448,C448-B448,C448-B448+1))</f>
        <v/>
      </c>
    </row>
    <row r="449" customFormat="false" ht="14.25" hidden="false" customHeight="false" outlineLevel="0" collapsed="false">
      <c r="A449" s="27"/>
      <c r="B449" s="28"/>
      <c r="C449" s="28"/>
      <c r="D449" s="31"/>
      <c r="E449" s="31"/>
      <c r="F449" s="31"/>
      <c r="G449" s="29" t="str">
        <f aca="false">IF(D449="","",IF(C449&gt;B449,C449-B449,C449-B449+1))</f>
        <v/>
      </c>
    </row>
    <row r="450" customFormat="false" ht="14.25" hidden="false" customHeight="false" outlineLevel="0" collapsed="false">
      <c r="A450" s="27"/>
      <c r="B450" s="28"/>
      <c r="C450" s="28"/>
      <c r="D450" s="31"/>
      <c r="E450" s="31"/>
      <c r="F450" s="31"/>
      <c r="G450" s="29" t="str">
        <f aca="false">IF(D450="","",IF(C450&gt;B450,C450-B450,C450-B450+1))</f>
        <v/>
      </c>
    </row>
    <row r="451" customFormat="false" ht="14.25" hidden="false" customHeight="false" outlineLevel="0" collapsed="false">
      <c r="A451" s="27"/>
      <c r="B451" s="28"/>
      <c r="C451" s="28"/>
      <c r="D451" s="31"/>
      <c r="E451" s="31"/>
      <c r="F451" s="31"/>
      <c r="G451" s="29" t="str">
        <f aca="false">IF(D451="","",IF(C451&gt;B451,C451-B451,C451-B451+1))</f>
        <v/>
      </c>
    </row>
    <row r="452" customFormat="false" ht="14.25" hidden="false" customHeight="false" outlineLevel="0" collapsed="false">
      <c r="A452" s="27"/>
      <c r="B452" s="28"/>
      <c r="C452" s="28"/>
      <c r="D452" s="31"/>
      <c r="E452" s="31"/>
      <c r="F452" s="31"/>
      <c r="G452" s="29" t="str">
        <f aca="false">IF(D452="","",IF(C452&gt;B452,C452-B452,C452-B452+1))</f>
        <v/>
      </c>
    </row>
    <row r="453" customFormat="false" ht="14.25" hidden="false" customHeight="false" outlineLevel="0" collapsed="false">
      <c r="A453" s="27"/>
      <c r="B453" s="28"/>
      <c r="C453" s="28"/>
      <c r="D453" s="31"/>
      <c r="E453" s="31"/>
      <c r="F453" s="31"/>
      <c r="G453" s="29" t="str">
        <f aca="false">IF(D453="","",IF(C453&gt;B453,C453-B453,C453-B453+1))</f>
        <v/>
      </c>
    </row>
    <row r="454" customFormat="false" ht="14.25" hidden="false" customHeight="false" outlineLevel="0" collapsed="false">
      <c r="A454" s="27"/>
      <c r="B454" s="28"/>
      <c r="C454" s="28"/>
      <c r="D454" s="31"/>
      <c r="E454" s="31"/>
      <c r="F454" s="31"/>
      <c r="G454" s="29" t="str">
        <f aca="false">IF(D454="","",IF(C454&gt;B454,C454-B454,C454-B454+1))</f>
        <v/>
      </c>
    </row>
    <row r="455" customFormat="false" ht="14.25" hidden="false" customHeight="false" outlineLevel="0" collapsed="false">
      <c r="A455" s="27"/>
      <c r="B455" s="28"/>
      <c r="C455" s="28"/>
      <c r="D455" s="31"/>
      <c r="E455" s="31"/>
      <c r="F455" s="31"/>
      <c r="G455" s="29" t="str">
        <f aca="false">IF(D455="","",IF(C455&gt;B455,C455-B455,C455-B455+1))</f>
        <v/>
      </c>
    </row>
    <row r="456" customFormat="false" ht="14.25" hidden="false" customHeight="false" outlineLevel="0" collapsed="false">
      <c r="A456" s="27"/>
      <c r="B456" s="28"/>
      <c r="C456" s="28"/>
      <c r="D456" s="31"/>
      <c r="E456" s="31"/>
      <c r="F456" s="31"/>
      <c r="G456" s="29" t="str">
        <f aca="false">IF(D456="","",IF(C456&gt;B456,C456-B456,C456-B456+1))</f>
        <v/>
      </c>
    </row>
    <row r="457" customFormat="false" ht="14.25" hidden="false" customHeight="false" outlineLevel="0" collapsed="false">
      <c r="A457" s="27"/>
      <c r="B457" s="28"/>
      <c r="C457" s="28"/>
      <c r="D457" s="31"/>
      <c r="E457" s="31"/>
      <c r="F457" s="31"/>
      <c r="G457" s="29" t="str">
        <f aca="false">IF(D457="","",IF(C457&gt;B457,C457-B457,C457-B457+1))</f>
        <v/>
      </c>
    </row>
    <row r="458" customFormat="false" ht="14.25" hidden="false" customHeight="false" outlineLevel="0" collapsed="false">
      <c r="A458" s="27"/>
      <c r="B458" s="28"/>
      <c r="C458" s="28"/>
      <c r="D458" s="31"/>
      <c r="E458" s="31"/>
      <c r="F458" s="31"/>
      <c r="G458" s="29" t="str">
        <f aca="false">IF(D458="","",IF(C458&gt;B458,C458-B458,C458-B458+1))</f>
        <v/>
      </c>
    </row>
    <row r="459" customFormat="false" ht="14.25" hidden="false" customHeight="false" outlineLevel="0" collapsed="false">
      <c r="A459" s="27"/>
      <c r="B459" s="28"/>
      <c r="C459" s="28"/>
      <c r="D459" s="31"/>
      <c r="E459" s="31"/>
      <c r="F459" s="31"/>
      <c r="G459" s="29" t="str">
        <f aca="false">IF(D459="","",IF(C459&gt;B459,C459-B459,C459-B459+1))</f>
        <v/>
      </c>
    </row>
    <row r="460" customFormat="false" ht="14.25" hidden="false" customHeight="false" outlineLevel="0" collapsed="false">
      <c r="A460" s="27"/>
      <c r="B460" s="28"/>
      <c r="C460" s="28"/>
      <c r="D460" s="31"/>
      <c r="E460" s="31"/>
      <c r="F460" s="31"/>
      <c r="G460" s="29" t="str">
        <f aca="false">IF(D460="","",IF(C460&gt;B460,C460-B460,C460-B460+1))</f>
        <v/>
      </c>
    </row>
    <row r="461" customFormat="false" ht="14.25" hidden="false" customHeight="false" outlineLevel="0" collapsed="false">
      <c r="A461" s="27"/>
      <c r="B461" s="28"/>
      <c r="C461" s="28"/>
      <c r="D461" s="31"/>
      <c r="E461" s="31"/>
      <c r="F461" s="31"/>
      <c r="G461" s="29" t="str">
        <f aca="false">IF(D461="","",IF(C461&gt;B461,C461-B461,C461-B461+1))</f>
        <v/>
      </c>
    </row>
    <row r="462" customFormat="false" ht="14.25" hidden="false" customHeight="false" outlineLevel="0" collapsed="false">
      <c r="A462" s="27"/>
      <c r="B462" s="28"/>
      <c r="C462" s="28"/>
      <c r="D462" s="31"/>
      <c r="E462" s="31"/>
      <c r="F462" s="31"/>
      <c r="G462" s="29" t="str">
        <f aca="false">IF(D462="","",IF(C462&gt;B462,C462-B462,C462-B462+1))</f>
        <v/>
      </c>
    </row>
    <row r="463" customFormat="false" ht="14.25" hidden="false" customHeight="false" outlineLevel="0" collapsed="false">
      <c r="A463" s="27"/>
      <c r="B463" s="28"/>
      <c r="C463" s="28"/>
      <c r="D463" s="31"/>
      <c r="E463" s="31"/>
      <c r="F463" s="31"/>
      <c r="G463" s="29" t="str">
        <f aca="false">IF(D463="","",IF(C463&gt;B463,C463-B463,C463-B463+1))</f>
        <v/>
      </c>
    </row>
    <row r="464" customFormat="false" ht="14.25" hidden="false" customHeight="false" outlineLevel="0" collapsed="false">
      <c r="A464" s="27"/>
      <c r="B464" s="28"/>
      <c r="C464" s="28"/>
      <c r="D464" s="31"/>
      <c r="E464" s="31"/>
      <c r="F464" s="31"/>
      <c r="G464" s="29" t="str">
        <f aca="false">IF(D464="","",IF(C464&gt;B464,C464-B464,C464-B464+1))</f>
        <v/>
      </c>
    </row>
    <row r="465" customFormat="false" ht="14.25" hidden="false" customHeight="false" outlineLevel="0" collapsed="false">
      <c r="A465" s="27"/>
      <c r="B465" s="28"/>
      <c r="C465" s="28"/>
      <c r="D465" s="31"/>
      <c r="E465" s="31"/>
      <c r="F465" s="31"/>
      <c r="G465" s="29" t="str">
        <f aca="false">IF(D465="","",IF(C465&gt;B465,C465-B465,C465-B465+1))</f>
        <v/>
      </c>
    </row>
    <row r="466" customFormat="false" ht="14.25" hidden="false" customHeight="false" outlineLevel="0" collapsed="false">
      <c r="A466" s="27"/>
      <c r="B466" s="28"/>
      <c r="C466" s="28"/>
      <c r="D466" s="31"/>
      <c r="E466" s="31"/>
      <c r="F466" s="31"/>
      <c r="G466" s="29" t="str">
        <f aca="false">IF(D466="","",IF(C466&gt;B466,C466-B466,C466-B466+1))</f>
        <v/>
      </c>
    </row>
    <row r="467" customFormat="false" ht="14.25" hidden="false" customHeight="false" outlineLevel="0" collapsed="false">
      <c r="A467" s="27"/>
      <c r="B467" s="28"/>
      <c r="C467" s="28"/>
      <c r="D467" s="31"/>
      <c r="E467" s="31"/>
      <c r="F467" s="31"/>
      <c r="G467" s="29" t="str">
        <f aca="false">IF(D467="","",IF(C467&gt;B467,C467-B467,C467-B467+1))</f>
        <v/>
      </c>
    </row>
    <row r="468" customFormat="false" ht="14.25" hidden="false" customHeight="false" outlineLevel="0" collapsed="false">
      <c r="A468" s="27"/>
      <c r="B468" s="28"/>
      <c r="C468" s="28"/>
      <c r="D468" s="31"/>
      <c r="E468" s="31"/>
      <c r="F468" s="31"/>
      <c r="G468" s="29" t="str">
        <f aca="false">IF(D468="","",IF(C468&gt;B468,C468-B468,C468-B468+1))</f>
        <v/>
      </c>
    </row>
    <row r="469" customFormat="false" ht="14.25" hidden="false" customHeight="false" outlineLevel="0" collapsed="false">
      <c r="A469" s="27"/>
      <c r="B469" s="28"/>
      <c r="C469" s="28"/>
      <c r="D469" s="31"/>
      <c r="E469" s="31"/>
      <c r="F469" s="31"/>
      <c r="G469" s="29" t="str">
        <f aca="false">IF(D469="","",IF(C469&gt;B469,C469-B469,C469-B469+1))</f>
        <v/>
      </c>
    </row>
    <row r="470" customFormat="false" ht="14.25" hidden="false" customHeight="false" outlineLevel="0" collapsed="false">
      <c r="A470" s="27"/>
      <c r="B470" s="28"/>
      <c r="C470" s="28"/>
      <c r="D470" s="31"/>
      <c r="E470" s="31"/>
      <c r="F470" s="31"/>
      <c r="G470" s="29" t="str">
        <f aca="false">IF(D470="","",IF(C470&gt;B470,C470-B470,C470-B470+1))</f>
        <v/>
      </c>
    </row>
    <row r="471" customFormat="false" ht="14.25" hidden="false" customHeight="false" outlineLevel="0" collapsed="false">
      <c r="A471" s="27"/>
      <c r="B471" s="28"/>
      <c r="C471" s="28"/>
      <c r="D471" s="31"/>
      <c r="E471" s="31"/>
      <c r="F471" s="31"/>
      <c r="G471" s="29" t="str">
        <f aca="false">IF(D471="","",IF(C471&gt;B471,C471-B471,C471-B471+1))</f>
        <v/>
      </c>
    </row>
    <row r="472" customFormat="false" ht="14.25" hidden="false" customHeight="false" outlineLevel="0" collapsed="false">
      <c r="A472" s="27"/>
      <c r="B472" s="28"/>
      <c r="C472" s="28"/>
      <c r="D472" s="31"/>
      <c r="E472" s="31"/>
      <c r="F472" s="31"/>
      <c r="G472" s="29" t="str">
        <f aca="false">IF(D472="","",IF(C472&gt;B472,C472-B472,C472-B472+1))</f>
        <v/>
      </c>
    </row>
    <row r="473" customFormat="false" ht="14.25" hidden="false" customHeight="false" outlineLevel="0" collapsed="false">
      <c r="A473" s="27"/>
      <c r="B473" s="28"/>
      <c r="C473" s="28"/>
      <c r="D473" s="31"/>
      <c r="E473" s="31"/>
      <c r="F473" s="31"/>
      <c r="G473" s="29" t="str">
        <f aca="false">IF(D473="","",IF(C473&gt;B473,C473-B473,C473-B473+1))</f>
        <v/>
      </c>
    </row>
    <row r="474" customFormat="false" ht="14.25" hidden="false" customHeight="false" outlineLevel="0" collapsed="false">
      <c r="A474" s="27"/>
      <c r="B474" s="28"/>
      <c r="C474" s="28"/>
      <c r="D474" s="31"/>
      <c r="E474" s="31"/>
      <c r="F474" s="31"/>
      <c r="G474" s="29" t="str">
        <f aca="false">IF(D474="","",IF(C474&gt;B474,C474-B474,C474-B474+1))</f>
        <v/>
      </c>
    </row>
    <row r="475" customFormat="false" ht="14.25" hidden="false" customHeight="false" outlineLevel="0" collapsed="false">
      <c r="A475" s="27"/>
      <c r="B475" s="28"/>
      <c r="C475" s="28"/>
      <c r="D475" s="31"/>
      <c r="E475" s="31"/>
      <c r="F475" s="31"/>
      <c r="G475" s="29" t="str">
        <f aca="false">IF(D475="","",IF(C475&gt;B475,C475-B475,C475-B475+1))</f>
        <v/>
      </c>
    </row>
    <row r="476" customFormat="false" ht="14.25" hidden="false" customHeight="false" outlineLevel="0" collapsed="false">
      <c r="A476" s="27"/>
      <c r="B476" s="28"/>
      <c r="C476" s="28"/>
      <c r="D476" s="31"/>
      <c r="E476" s="31"/>
      <c r="F476" s="31"/>
      <c r="G476" s="29" t="str">
        <f aca="false">IF(D476="","",IF(C476&gt;B476,C476-B476,C476-B476+1))</f>
        <v/>
      </c>
    </row>
    <row r="477" customFormat="false" ht="14.25" hidden="false" customHeight="false" outlineLevel="0" collapsed="false">
      <c r="A477" s="27"/>
      <c r="B477" s="28"/>
      <c r="C477" s="28"/>
      <c r="D477" s="31"/>
      <c r="E477" s="31"/>
      <c r="F477" s="31"/>
      <c r="G477" s="29" t="str">
        <f aca="false">IF(D477="","",IF(C477&gt;B477,C477-B477,C477-B477+1))</f>
        <v/>
      </c>
    </row>
    <row r="478" customFormat="false" ht="14.25" hidden="false" customHeight="false" outlineLevel="0" collapsed="false">
      <c r="A478" s="27"/>
      <c r="B478" s="28"/>
      <c r="C478" s="28"/>
      <c r="D478" s="31"/>
      <c r="E478" s="31"/>
      <c r="F478" s="31"/>
      <c r="G478" s="29" t="str">
        <f aca="false">IF(D478="","",IF(C478&gt;B478,C478-B478,C478-B478+1))</f>
        <v/>
      </c>
    </row>
    <row r="479" customFormat="false" ht="14.25" hidden="false" customHeight="false" outlineLevel="0" collapsed="false">
      <c r="A479" s="27"/>
      <c r="B479" s="28"/>
      <c r="C479" s="28"/>
      <c r="D479" s="31"/>
      <c r="E479" s="31"/>
      <c r="F479" s="31"/>
      <c r="G479" s="29" t="str">
        <f aca="false">IF(D479="","",IF(C479&gt;B479,C479-B479,C479-B479+1))</f>
        <v/>
      </c>
    </row>
    <row r="480" customFormat="false" ht="14.25" hidden="false" customHeight="false" outlineLevel="0" collapsed="false">
      <c r="A480" s="27"/>
      <c r="B480" s="28"/>
      <c r="C480" s="28"/>
      <c r="D480" s="31"/>
      <c r="E480" s="31"/>
      <c r="F480" s="31"/>
      <c r="G480" s="29" t="str">
        <f aca="false">IF(D480="","",IF(C480&gt;B480,C480-B480,C480-B480+1))</f>
        <v/>
      </c>
    </row>
    <row r="481" customFormat="false" ht="14.25" hidden="false" customHeight="false" outlineLevel="0" collapsed="false">
      <c r="A481" s="27"/>
      <c r="B481" s="28"/>
      <c r="C481" s="28"/>
      <c r="D481" s="31"/>
      <c r="E481" s="31"/>
      <c r="F481" s="31"/>
      <c r="G481" s="29" t="str">
        <f aca="false">IF(D481="","",IF(C481&gt;B481,C481-B481,C481-B481+1))</f>
        <v/>
      </c>
    </row>
    <row r="482" customFormat="false" ht="14.25" hidden="false" customHeight="false" outlineLevel="0" collapsed="false">
      <c r="A482" s="27"/>
      <c r="B482" s="28"/>
      <c r="C482" s="28"/>
      <c r="D482" s="31"/>
      <c r="E482" s="31"/>
      <c r="F482" s="31"/>
      <c r="G482" s="29" t="str">
        <f aca="false">IF(D482="","",IF(C482&gt;B482,C482-B482,C482-B482+1))</f>
        <v/>
      </c>
    </row>
    <row r="483" customFormat="false" ht="14.25" hidden="false" customHeight="false" outlineLevel="0" collapsed="false">
      <c r="A483" s="27"/>
      <c r="B483" s="28"/>
      <c r="C483" s="28"/>
      <c r="D483" s="31"/>
      <c r="E483" s="31"/>
      <c r="F483" s="31"/>
      <c r="G483" s="29" t="str">
        <f aca="false">IF(D483="","",IF(C483&gt;B483,C483-B483,C483-B483+1))</f>
        <v/>
      </c>
    </row>
    <row r="484" customFormat="false" ht="14.25" hidden="false" customHeight="false" outlineLevel="0" collapsed="false">
      <c r="A484" s="27"/>
      <c r="B484" s="28"/>
      <c r="C484" s="28"/>
      <c r="D484" s="31"/>
      <c r="E484" s="31"/>
      <c r="F484" s="31"/>
      <c r="G484" s="29" t="str">
        <f aca="false">IF(D484="","",IF(C484&gt;B484,C484-B484,C484-B484+1))</f>
        <v/>
      </c>
    </row>
    <row r="485" customFormat="false" ht="14.25" hidden="false" customHeight="false" outlineLevel="0" collapsed="false">
      <c r="A485" s="27"/>
      <c r="B485" s="28"/>
      <c r="C485" s="28"/>
      <c r="D485" s="31"/>
      <c r="E485" s="31"/>
      <c r="F485" s="31"/>
      <c r="G485" s="29" t="str">
        <f aca="false">IF(D485="","",IF(C485&gt;B485,C485-B485,C485-B485+1))</f>
        <v/>
      </c>
    </row>
    <row r="486" customFormat="false" ht="14.25" hidden="false" customHeight="false" outlineLevel="0" collapsed="false">
      <c r="A486" s="27"/>
      <c r="B486" s="28"/>
      <c r="C486" s="28"/>
      <c r="D486" s="31"/>
      <c r="E486" s="31"/>
      <c r="F486" s="31"/>
      <c r="G486" s="29" t="str">
        <f aca="false">IF(D486="","",IF(C486&gt;B486,C486-B486,C486-B486+1))</f>
        <v/>
      </c>
    </row>
    <row r="487" customFormat="false" ht="14.25" hidden="false" customHeight="false" outlineLevel="0" collapsed="false">
      <c r="A487" s="27"/>
      <c r="B487" s="28"/>
      <c r="C487" s="28"/>
      <c r="D487" s="31"/>
      <c r="E487" s="31"/>
      <c r="F487" s="31"/>
      <c r="G487" s="29" t="str">
        <f aca="false">IF(D487="","",IF(C487&gt;B487,C487-B487,C487-B487+1))</f>
        <v/>
      </c>
    </row>
    <row r="488" customFormat="false" ht="14.25" hidden="false" customHeight="false" outlineLevel="0" collapsed="false">
      <c r="A488" s="27"/>
      <c r="B488" s="28"/>
      <c r="C488" s="28"/>
      <c r="D488" s="31"/>
      <c r="E488" s="31"/>
      <c r="F488" s="31"/>
      <c r="G488" s="29" t="str">
        <f aca="false">IF(D488="","",IF(C488&gt;B488,C488-B488,C488-B488+1))</f>
        <v/>
      </c>
    </row>
    <row r="489" customFormat="false" ht="14.25" hidden="false" customHeight="false" outlineLevel="0" collapsed="false">
      <c r="A489" s="27"/>
      <c r="B489" s="28"/>
      <c r="C489" s="28"/>
      <c r="D489" s="31"/>
      <c r="E489" s="31"/>
      <c r="F489" s="31"/>
      <c r="G489" s="29" t="str">
        <f aca="false">IF(D489="","",IF(C489&gt;B489,C489-B489,C489-B489+1))</f>
        <v/>
      </c>
    </row>
    <row r="490" customFormat="false" ht="14.25" hidden="false" customHeight="false" outlineLevel="0" collapsed="false">
      <c r="A490" s="27"/>
      <c r="B490" s="28"/>
      <c r="C490" s="28"/>
      <c r="D490" s="31"/>
      <c r="E490" s="31"/>
      <c r="F490" s="31"/>
      <c r="G490" s="29" t="str">
        <f aca="false">IF(D490="","",IF(C490&gt;B490,C490-B490,C490-B490+1))</f>
        <v/>
      </c>
    </row>
    <row r="491" customFormat="false" ht="14.25" hidden="false" customHeight="false" outlineLevel="0" collapsed="false">
      <c r="A491" s="27"/>
      <c r="B491" s="28"/>
      <c r="C491" s="28"/>
      <c r="D491" s="31"/>
      <c r="E491" s="31"/>
      <c r="F491" s="31"/>
      <c r="G491" s="29" t="str">
        <f aca="false">IF(D491="","",IF(C491&gt;B491,C491-B491,C491-B491+1))</f>
        <v/>
      </c>
    </row>
    <row r="492" customFormat="false" ht="14.25" hidden="false" customHeight="false" outlineLevel="0" collapsed="false">
      <c r="A492" s="27"/>
      <c r="B492" s="28"/>
      <c r="C492" s="28"/>
      <c r="D492" s="31"/>
      <c r="E492" s="31"/>
      <c r="F492" s="31"/>
      <c r="G492" s="29" t="str">
        <f aca="false">IF(D492="","",IF(C492&gt;B492,C492-B492,C492-B492+1))</f>
        <v/>
      </c>
    </row>
    <row r="493" customFormat="false" ht="14.25" hidden="false" customHeight="false" outlineLevel="0" collapsed="false">
      <c r="A493" s="27"/>
      <c r="B493" s="28"/>
      <c r="C493" s="28"/>
      <c r="D493" s="31"/>
      <c r="E493" s="31"/>
      <c r="F493" s="31"/>
      <c r="G493" s="29" t="str">
        <f aca="false">IF(D493="","",IF(C493&gt;B493,C493-B493,C493-B493+1))</f>
        <v/>
      </c>
    </row>
    <row r="494" customFormat="false" ht="14.25" hidden="false" customHeight="false" outlineLevel="0" collapsed="false">
      <c r="A494" s="27"/>
      <c r="B494" s="28"/>
      <c r="C494" s="28"/>
      <c r="D494" s="31"/>
      <c r="E494" s="31"/>
      <c r="F494" s="31"/>
      <c r="G494" s="29" t="str">
        <f aca="false">IF(D494="","",IF(C494&gt;B494,C494-B494,C494-B494+1))</f>
        <v/>
      </c>
    </row>
    <row r="495" customFormat="false" ht="14.25" hidden="false" customHeight="false" outlineLevel="0" collapsed="false">
      <c r="A495" s="27"/>
      <c r="B495" s="28"/>
      <c r="C495" s="28"/>
      <c r="D495" s="31"/>
      <c r="E495" s="31"/>
      <c r="F495" s="31"/>
      <c r="G495" s="29" t="str">
        <f aca="false">IF(D495="","",IF(C495&gt;B495,C495-B495,C495-B495+1))</f>
        <v/>
      </c>
    </row>
    <row r="496" customFormat="false" ht="14.25" hidden="false" customHeight="false" outlineLevel="0" collapsed="false">
      <c r="A496" s="27"/>
      <c r="B496" s="28"/>
      <c r="C496" s="28"/>
      <c r="D496" s="31"/>
      <c r="E496" s="31"/>
      <c r="F496" s="31"/>
      <c r="G496" s="29" t="str">
        <f aca="false">IF(D496="","",IF(C496&gt;B496,C496-B496,C496-B496+1))</f>
        <v/>
      </c>
    </row>
    <row r="497" customFormat="false" ht="14.25" hidden="false" customHeight="false" outlineLevel="0" collapsed="false">
      <c r="A497" s="27"/>
      <c r="B497" s="28"/>
      <c r="C497" s="28"/>
      <c r="D497" s="31"/>
      <c r="E497" s="31"/>
      <c r="F497" s="31"/>
      <c r="G497" s="29" t="str">
        <f aca="false">IF(D497="","",IF(C497&gt;B497,C497-B497,C497-B497+1))</f>
        <v/>
      </c>
    </row>
    <row r="498" customFormat="false" ht="14.25" hidden="false" customHeight="false" outlineLevel="0" collapsed="false">
      <c r="A498" s="27"/>
      <c r="B498" s="28"/>
      <c r="C498" s="28"/>
      <c r="D498" s="31"/>
      <c r="E498" s="31"/>
      <c r="F498" s="31"/>
      <c r="G498" s="29" t="str">
        <f aca="false">IF(D498="","",IF(C498&gt;B498,C498-B498,C498-B498+1))</f>
        <v/>
      </c>
    </row>
    <row r="499" customFormat="false" ht="14.25" hidden="false" customHeight="false" outlineLevel="0" collapsed="false">
      <c r="A499" s="27"/>
      <c r="B499" s="28"/>
      <c r="C499" s="28"/>
      <c r="D499" s="31"/>
      <c r="E499" s="31"/>
      <c r="F499" s="31"/>
      <c r="G499" s="29" t="str">
        <f aca="false">IF(D499="","",IF(C499&gt;B499,C499-B499,C499-B499+1))</f>
        <v/>
      </c>
    </row>
    <row r="500" customFormat="false" ht="14.25" hidden="false" customHeight="false" outlineLevel="0" collapsed="false">
      <c r="A500" s="27"/>
      <c r="B500" s="28"/>
      <c r="C500" s="28"/>
      <c r="D500" s="31"/>
      <c r="E500" s="31"/>
      <c r="F500" s="31"/>
      <c r="G500" s="29" t="str">
        <f aca="false">IF(D500="","",IF(C500&gt;B500,C500-B500,C500-B500+1))</f>
        <v/>
      </c>
    </row>
  </sheetData>
  <sheetProtection algorithmName="SHA-512" hashValue="BhGw2qxA9IicsTmMeAhMbYhmtrVXkEj+qwasmccyKDtpBq4VUsHdozR/4mMVbURC/qoNk+xjRi70ae5msrcRmg==" saltValue="LDRypG+D25OD54tp/eiY9Q==" spinCount="100000" sheet="true" objects="true" scenarios="true"/>
  <dataValidations count="4">
    <dataValidation allowBlank="true" errorStyle="stop" operator="between" showDropDown="false" showErrorMessage="true" showInputMessage="true" sqref="F2:F350" type="list">
      <formula1>TEAM!A$2:A$10</formula1>
      <formula2>0</formula2>
    </dataValidation>
    <dataValidation allowBlank="true" errorStyle="stop" operator="between" showDropDown="false" showErrorMessage="true" showInputMessage="true" sqref="F351:F1500" type="list">
      <formula1>TEAM!A352:A356</formula1>
      <formula2>0</formula2>
    </dataValidation>
    <dataValidation allowBlank="true" errorStyle="stop" operator="between" showDropDown="false" showErrorMessage="true" showInputMessage="true" sqref="D351:E1500" type="list">
      <formula1>WBS!A352:A380</formula1>
      <formula2>0</formula2>
    </dataValidation>
    <dataValidation allowBlank="true" errorStyle="stop" operator="between" showDropDown="false" showErrorMessage="true" showInputMessage="true" sqref="D2:E350" type="list">
      <formula1>WBS!A$2:A$60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453125" defaultRowHeight="14.25" customHeight="false" zeroHeight="false" outlineLevelRow="0" outlineLevelCol="0"/>
  <cols>
    <col collapsed="false" customWidth="true" hidden="false" outlineLevel="0" max="1" min="1" style="1" width="22.67"/>
    <col collapsed="false" customWidth="true" hidden="false" outlineLevel="0" max="2" min="2" style="32" width="18.11"/>
    <col collapsed="false" customWidth="true" hidden="false" outlineLevel="0" max="3" min="3" style="1" width="17"/>
  </cols>
  <sheetData>
    <row r="1" customFormat="false" ht="14.25" hidden="false" customHeight="false" outlineLevel="0" collapsed="false">
      <c r="A1" s="33" t="s">
        <v>65</v>
      </c>
      <c r="B1" s="34" t="s">
        <v>66</v>
      </c>
    </row>
    <row r="2" customFormat="false" ht="14.25" hidden="false" customHeight="false" outlineLevel="0" collapsed="false">
      <c r="A2" s="35" t="s">
        <v>67</v>
      </c>
      <c r="B2" s="36"/>
    </row>
    <row r="3" customFormat="false" ht="14.25" hidden="false" customHeight="false" outlineLevel="0" collapsed="false">
      <c r="A3" s="37" t="s">
        <v>67</v>
      </c>
      <c r="B3" s="38"/>
    </row>
    <row r="4" customFormat="false" ht="14.25" hidden="false" customHeight="false" outlineLevel="0" collapsed="false">
      <c r="A4" s="35" t="s">
        <v>22</v>
      </c>
      <c r="B4" s="36" t="n">
        <v>0.114583333333334</v>
      </c>
    </row>
    <row r="5" customFormat="false" ht="14.25" hidden="false" customHeight="false" outlineLevel="0" collapsed="false">
      <c r="A5" s="39" t="s">
        <v>23</v>
      </c>
      <c r="B5" s="40" t="n">
        <v>0.0416666666666668</v>
      </c>
    </row>
    <row r="6" customFormat="false" ht="14.25" hidden="false" customHeight="false" outlineLevel="0" collapsed="false">
      <c r="A6" s="37" t="s">
        <v>24</v>
      </c>
      <c r="B6" s="38" t="n">
        <v>0.0729166666666668</v>
      </c>
    </row>
    <row r="7" customFormat="false" ht="14.25" hidden="false" customHeight="false" outlineLevel="0" collapsed="false">
      <c r="A7" s="35" t="s">
        <v>25</v>
      </c>
      <c r="B7" s="36" t="n">
        <v>0.154166666666667</v>
      </c>
    </row>
    <row r="8" customFormat="false" ht="14.25" hidden="false" customHeight="false" outlineLevel="0" collapsed="false">
      <c r="A8" s="39" t="s">
        <v>26</v>
      </c>
      <c r="B8" s="40" t="n">
        <v>0.0819444444444445</v>
      </c>
    </row>
    <row r="9" customFormat="false" ht="14.25" hidden="false" customHeight="false" outlineLevel="0" collapsed="false">
      <c r="A9" s="37" t="s">
        <v>27</v>
      </c>
      <c r="B9" s="38" t="n">
        <v>0.0722222222222223</v>
      </c>
    </row>
    <row r="10" customFormat="false" ht="14.25" hidden="false" customHeight="false" outlineLevel="0" collapsed="false">
      <c r="A10" s="35" t="s">
        <v>28</v>
      </c>
      <c r="B10" s="36" t="n">
        <v>0.435416666666667</v>
      </c>
    </row>
    <row r="11" customFormat="false" ht="14.25" hidden="false" customHeight="false" outlineLevel="0" collapsed="false">
      <c r="A11" s="39" t="s">
        <v>29</v>
      </c>
      <c r="B11" s="40" t="n">
        <v>0.148611111111111</v>
      </c>
    </row>
    <row r="12" customFormat="false" ht="14.25" hidden="false" customHeight="false" outlineLevel="0" collapsed="false">
      <c r="A12" s="39" t="s">
        <v>30</v>
      </c>
      <c r="B12" s="40" t="n">
        <v>0.163194444444445</v>
      </c>
    </row>
    <row r="13" customFormat="false" ht="14.25" hidden="false" customHeight="false" outlineLevel="0" collapsed="false">
      <c r="A13" s="39" t="s">
        <v>32</v>
      </c>
      <c r="B13" s="40" t="n">
        <v>0.0138888888888889</v>
      </c>
    </row>
    <row r="14" customFormat="false" ht="14.25" hidden="false" customHeight="false" outlineLevel="0" collapsed="false">
      <c r="A14" s="37" t="s">
        <v>31</v>
      </c>
      <c r="B14" s="38" t="n">
        <v>0.109722222222222</v>
      </c>
    </row>
    <row r="15" customFormat="false" ht="14.25" hidden="false" customHeight="false" outlineLevel="0" collapsed="false">
      <c r="A15" s="35" t="s">
        <v>33</v>
      </c>
      <c r="B15" s="36" t="n">
        <v>0.333333333333333</v>
      </c>
    </row>
    <row r="16" customFormat="false" ht="14.25" hidden="false" customHeight="false" outlineLevel="0" collapsed="false">
      <c r="A16" s="39" t="s">
        <v>32</v>
      </c>
      <c r="B16" s="40" t="n">
        <v>0.0145833333333333</v>
      </c>
    </row>
    <row r="17" customFormat="false" ht="14.25" hidden="false" customHeight="false" outlineLevel="0" collapsed="false">
      <c r="A17" s="39" t="s">
        <v>34</v>
      </c>
      <c r="B17" s="40" t="n">
        <v>0.25625</v>
      </c>
    </row>
    <row r="18" customFormat="false" ht="14.25" hidden="false" customHeight="false" outlineLevel="0" collapsed="false">
      <c r="A18" s="37" t="s">
        <v>35</v>
      </c>
      <c r="B18" s="38" t="n">
        <v>0.0625</v>
      </c>
    </row>
    <row r="19" customFormat="false" ht="14.25" hidden="false" customHeight="false" outlineLevel="0" collapsed="false">
      <c r="A19" s="41" t="s">
        <v>68</v>
      </c>
      <c r="B19" s="42" t="n">
        <v>1.0375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453125" defaultRowHeight="14.25" customHeight="false" zeroHeight="false" outlineLevelRow="0" outlineLevelCol="0"/>
  <cols>
    <col collapsed="false" customWidth="true" hidden="false" outlineLevel="0" max="1" min="1" style="1" width="18.11"/>
    <col collapsed="false" customWidth="true" hidden="false" outlineLevel="0" max="2" min="2" style="32" width="7.88"/>
    <col collapsed="false" customWidth="true" hidden="false" outlineLevel="0" max="4" min="3" style="1" width="7.11"/>
    <col collapsed="false" customWidth="true" hidden="false" outlineLevel="0" max="5" min="5" style="43" width="8.11"/>
    <col collapsed="false" customWidth="true" hidden="false" outlineLevel="0" max="6" min="6" style="43" width="10.78"/>
    <col collapsed="false" customWidth="true" hidden="false" outlineLevel="0" max="7" min="7" style="43" width="17.76"/>
    <col collapsed="false" customWidth="true" hidden="false" outlineLevel="0" max="8" min="8" style="43" width="31.56"/>
    <col collapsed="false" customWidth="true" hidden="false" outlineLevel="0" max="9" min="9" style="43" width="12.22"/>
    <col collapsed="false" customWidth="true" hidden="false" outlineLevel="0" max="10" min="10" style="1" width="25.56"/>
    <col collapsed="false" customWidth="true" hidden="false" outlineLevel="0" max="11" min="11" style="1" width="17.76"/>
    <col collapsed="false" customWidth="true" hidden="false" outlineLevel="0" max="12" min="12" style="1" width="18"/>
    <col collapsed="false" customWidth="true" hidden="false" outlineLevel="0" max="13" min="13" style="1" width="9.44"/>
    <col collapsed="false" customWidth="true" hidden="false" outlineLevel="0" max="14" min="14" style="1" width="17"/>
    <col collapsed="false" customWidth="true" hidden="false" outlineLevel="0" max="15" min="15" style="1" width="12.56"/>
  </cols>
  <sheetData>
    <row r="1" customFormat="false" ht="14.25" hidden="false" customHeight="false" outlineLevel="0" collapsed="false">
      <c r="A1" s="44" t="s">
        <v>66</v>
      </c>
      <c r="B1" s="45" t="s">
        <v>14</v>
      </c>
      <c r="C1" s="46"/>
      <c r="D1" s="46"/>
      <c r="E1" s="46"/>
      <c r="F1" s="46"/>
      <c r="G1" s="47"/>
    </row>
    <row r="2" customFormat="false" ht="14.25" hidden="false" customHeight="false" outlineLevel="0" collapsed="false">
      <c r="A2" s="48" t="s">
        <v>60</v>
      </c>
      <c r="B2" s="49" t="s">
        <v>67</v>
      </c>
      <c r="C2" s="50" t="s">
        <v>22</v>
      </c>
      <c r="D2" s="50" t="s">
        <v>25</v>
      </c>
      <c r="E2" s="50" t="s">
        <v>28</v>
      </c>
      <c r="F2" s="50" t="s">
        <v>33</v>
      </c>
      <c r="G2" s="51" t="s">
        <v>68</v>
      </c>
    </row>
    <row r="3" customFormat="false" ht="14.25" hidden="false" customHeight="false" outlineLevel="0" collapsed="false">
      <c r="A3" s="52" t="s">
        <v>3</v>
      </c>
      <c r="B3" s="53"/>
      <c r="C3" s="54" t="n">
        <v>0.0208333333333334</v>
      </c>
      <c r="D3" s="54" t="n">
        <v>0.0326388888888889</v>
      </c>
      <c r="E3" s="54" t="n">
        <v>0.1125</v>
      </c>
      <c r="F3" s="55" t="n">
        <v>0.121527777777778</v>
      </c>
      <c r="G3" s="56" t="n">
        <v>0.2875</v>
      </c>
    </row>
    <row r="4" customFormat="false" ht="14.25" hidden="false" customHeight="false" outlineLevel="0" collapsed="false">
      <c r="A4" s="57" t="s">
        <v>11</v>
      </c>
      <c r="B4" s="58"/>
      <c r="C4" s="59" t="n">
        <v>0.0243055555555556</v>
      </c>
      <c r="D4" s="59" t="n">
        <v>0.0416666666666667</v>
      </c>
      <c r="E4" s="59" t="n">
        <v>0.104166666666667</v>
      </c>
      <c r="F4" s="60" t="n">
        <v>0.0729166666666667</v>
      </c>
      <c r="G4" s="61" t="n">
        <v>0.243055555555556</v>
      </c>
    </row>
    <row r="5" customFormat="false" ht="14.25" hidden="false" customHeight="false" outlineLevel="0" collapsed="false">
      <c r="A5" s="57" t="s">
        <v>6</v>
      </c>
      <c r="B5" s="58"/>
      <c r="C5" s="59" t="n">
        <v>0.0347222222222223</v>
      </c>
      <c r="D5" s="59" t="n">
        <v>0.0395833333333334</v>
      </c>
      <c r="E5" s="59" t="n">
        <v>0.114583333333333</v>
      </c>
      <c r="F5" s="60" t="n">
        <v>0.0763888888888889</v>
      </c>
      <c r="G5" s="61" t="n">
        <v>0.265277777777778</v>
      </c>
    </row>
    <row r="6" customFormat="false" ht="14.25" hidden="false" customHeight="false" outlineLevel="0" collapsed="false">
      <c r="A6" s="57" t="s">
        <v>8</v>
      </c>
      <c r="B6" s="58"/>
      <c r="C6" s="59" t="n">
        <v>0.0347222222222223</v>
      </c>
      <c r="D6" s="59" t="n">
        <v>0.0402777777777778</v>
      </c>
      <c r="E6" s="59" t="n">
        <v>0.104166666666667</v>
      </c>
      <c r="F6" s="60" t="n">
        <v>0.0625</v>
      </c>
      <c r="G6" s="61" t="n">
        <v>0.241666666666667</v>
      </c>
    </row>
    <row r="7" customFormat="false" ht="14.25" hidden="false" customHeight="false" outlineLevel="0" collapsed="false">
      <c r="A7" s="57" t="s">
        <v>67</v>
      </c>
      <c r="B7" s="62"/>
      <c r="C7" s="63"/>
      <c r="D7" s="63"/>
      <c r="E7" s="63"/>
      <c r="F7" s="64"/>
      <c r="G7" s="65"/>
    </row>
    <row r="8" customFormat="false" ht="14.25" hidden="false" customHeight="false" outlineLevel="0" collapsed="false">
      <c r="A8" s="41" t="s">
        <v>68</v>
      </c>
      <c r="B8" s="66"/>
      <c r="C8" s="67" t="n">
        <v>0.114583333333334</v>
      </c>
      <c r="D8" s="67" t="n">
        <v>0.154166666666667</v>
      </c>
      <c r="E8" s="67" t="n">
        <v>0.435416666666667</v>
      </c>
      <c r="F8" s="68" t="n">
        <v>0.333333333333333</v>
      </c>
      <c r="G8" s="42" t="n">
        <v>1.0375</v>
      </c>
    </row>
    <row r="9" customFormat="false" ht="14.25" hidden="false" customHeight="false" outlineLevel="0" collapsed="false">
      <c r="D9" s="43"/>
    </row>
    <row r="10" customFormat="false" ht="14.25" hidden="false" customHeight="false" outlineLevel="0" collapsed="false">
      <c r="D10" s="4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453125" defaultRowHeight="14.25" customHeight="false" zeroHeight="false" outlineLevelRow="0" outlineLevelCol="0"/>
  <cols>
    <col collapsed="false" customWidth="true" hidden="false" outlineLevel="0" max="1" min="1" style="1" width="18.11"/>
    <col collapsed="false" customWidth="true" hidden="false" outlineLevel="0" max="2" min="2" style="32" width="11"/>
    <col collapsed="false" customWidth="true" hidden="false" outlineLevel="0" max="6" min="3" style="32" width="7.11"/>
    <col collapsed="false" customWidth="true" hidden="false" outlineLevel="0" max="7" min="7" style="32" width="10.78"/>
    <col collapsed="false" customWidth="false" hidden="false" outlineLevel="0" max="104" min="8" style="32" width="11.44"/>
  </cols>
  <sheetData>
    <row r="1" customFormat="false" ht="14.25" hidden="false" customHeight="false" outlineLevel="0" collapsed="false">
      <c r="A1" s="44" t="s">
        <v>66</v>
      </c>
      <c r="B1" s="45" t="s">
        <v>60</v>
      </c>
      <c r="C1" s="46"/>
      <c r="D1" s="46"/>
      <c r="E1" s="46"/>
      <c r="F1" s="46"/>
      <c r="G1" s="47"/>
    </row>
    <row r="2" customFormat="false" ht="14.25" hidden="false" customHeight="false" outlineLevel="0" collapsed="false">
      <c r="A2" s="48" t="s">
        <v>57</v>
      </c>
      <c r="B2" s="49" t="s">
        <v>3</v>
      </c>
      <c r="C2" s="50" t="s">
        <v>11</v>
      </c>
      <c r="D2" s="50" t="s">
        <v>6</v>
      </c>
      <c r="E2" s="50" t="s">
        <v>8</v>
      </c>
      <c r="F2" s="50" t="s">
        <v>67</v>
      </c>
      <c r="G2" s="51" t="s">
        <v>68</v>
      </c>
    </row>
    <row r="3" customFormat="false" ht="14.25" hidden="false" customHeight="false" outlineLevel="0" collapsed="false">
      <c r="A3" s="69" t="n">
        <v>46058</v>
      </c>
      <c r="B3" s="53" t="n">
        <v>0.0208333333333334</v>
      </c>
      <c r="C3" s="54" t="n">
        <v>0.0243055555555556</v>
      </c>
      <c r="D3" s="54" t="n">
        <v>0.0347222222222223</v>
      </c>
      <c r="E3" s="54" t="n">
        <v>0.0347222222222223</v>
      </c>
      <c r="F3" s="55"/>
      <c r="G3" s="56" t="n">
        <v>0.114583333333334</v>
      </c>
    </row>
    <row r="4" customFormat="false" ht="14.25" hidden="false" customHeight="false" outlineLevel="0" collapsed="false">
      <c r="A4" s="70" t="n">
        <v>46358</v>
      </c>
      <c r="B4" s="58" t="n">
        <v>0.0326388888888889</v>
      </c>
      <c r="C4" s="59" t="n">
        <v>0.0416666666666667</v>
      </c>
      <c r="D4" s="59" t="n">
        <v>0.0395833333333334</v>
      </c>
      <c r="E4" s="59" t="n">
        <v>0.0402777777777778</v>
      </c>
      <c r="F4" s="60"/>
      <c r="G4" s="61" t="n">
        <v>0.154166666666667</v>
      </c>
    </row>
    <row r="5" customFormat="false" ht="14.25" hidden="false" customHeight="false" outlineLevel="0" collapsed="false">
      <c r="A5" s="70" t="s">
        <v>63</v>
      </c>
      <c r="B5" s="58" t="n">
        <v>0.0465277777777778</v>
      </c>
      <c r="C5" s="59" t="n">
        <v>0.0381944444444444</v>
      </c>
      <c r="D5" s="59" t="n">
        <v>0.0423611111111111</v>
      </c>
      <c r="E5" s="59" t="n">
        <v>0.0416666666666666</v>
      </c>
      <c r="F5" s="60"/>
      <c r="G5" s="61" t="n">
        <v>0.16875</v>
      </c>
    </row>
    <row r="6" customFormat="false" ht="14.25" hidden="false" customHeight="false" outlineLevel="0" collapsed="false">
      <c r="A6" s="70" t="s">
        <v>64</v>
      </c>
      <c r="B6" s="58" t="n">
        <v>0.0659722222222223</v>
      </c>
      <c r="C6" s="59" t="n">
        <v>0.0659722222222222</v>
      </c>
      <c r="D6" s="59" t="n">
        <v>0.0722222222222223</v>
      </c>
      <c r="E6" s="59" t="n">
        <v>0.0625</v>
      </c>
      <c r="F6" s="60"/>
      <c r="G6" s="61" t="n">
        <v>0.266666666666667</v>
      </c>
    </row>
    <row r="7" customFormat="false" ht="14.25" hidden="false" customHeight="false" outlineLevel="0" collapsed="false">
      <c r="A7" s="70" t="s">
        <v>67</v>
      </c>
      <c r="B7" s="58"/>
      <c r="C7" s="59"/>
      <c r="D7" s="59"/>
      <c r="E7" s="59"/>
      <c r="F7" s="60"/>
      <c r="G7" s="61"/>
    </row>
    <row r="8" customFormat="false" ht="14.25" hidden="false" customHeight="false" outlineLevel="0" collapsed="false">
      <c r="A8" s="70" t="n">
        <v>46145</v>
      </c>
      <c r="B8" s="58" t="n">
        <v>0.0590277777777778</v>
      </c>
      <c r="C8" s="59" t="n">
        <v>0.0729166666666667</v>
      </c>
      <c r="D8" s="59" t="n">
        <v>0.0618055555555556</v>
      </c>
      <c r="E8" s="59" t="n">
        <v>0.0625</v>
      </c>
      <c r="F8" s="60"/>
      <c r="G8" s="61" t="n">
        <v>0.25625</v>
      </c>
    </row>
    <row r="9" customFormat="false" ht="14.25" hidden="false" customHeight="false" outlineLevel="0" collapsed="false">
      <c r="A9" s="70" t="n">
        <v>46237</v>
      </c>
      <c r="B9" s="58"/>
      <c r="C9" s="59"/>
      <c r="D9" s="59" t="n">
        <v>0.0145833333333333</v>
      </c>
      <c r="E9" s="59"/>
      <c r="F9" s="60"/>
      <c r="G9" s="61" t="n">
        <v>0.0145833333333333</v>
      </c>
    </row>
    <row r="10" customFormat="false" ht="14.25" hidden="false" customHeight="false" outlineLevel="0" collapsed="false">
      <c r="A10" s="70" t="n">
        <v>46206</v>
      </c>
      <c r="B10" s="62" t="n">
        <v>0.0625</v>
      </c>
      <c r="C10" s="63"/>
      <c r="D10" s="63"/>
      <c r="E10" s="63"/>
      <c r="F10" s="64"/>
      <c r="G10" s="65" t="n">
        <v>0.0625</v>
      </c>
    </row>
    <row r="11" customFormat="false" ht="14.25" hidden="false" customHeight="false" outlineLevel="0" collapsed="false">
      <c r="A11" s="71" t="s">
        <v>68</v>
      </c>
      <c r="B11" s="66" t="n">
        <v>0.2875</v>
      </c>
      <c r="C11" s="67" t="n">
        <v>0.243055555555556</v>
      </c>
      <c r="D11" s="67" t="n">
        <v>0.265277777777778</v>
      </c>
      <c r="E11" s="67" t="n">
        <v>0.241666666666667</v>
      </c>
      <c r="F11" s="68"/>
      <c r="G11" s="42" t="n">
        <v>1.0375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3" activeCellId="0" sqref="L33"/>
    </sheetView>
  </sheetViews>
  <sheetFormatPr defaultColWidth="11.4453125" defaultRowHeight="14.2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2019-05-20T10:51:03Z</dcterms:created>
  <dc:creator>Miguel</dc:creator>
  <dc:description/>
  <dc:language>en-US</dc:language>
  <cp:lastModifiedBy/>
  <dcterms:modified xsi:type="dcterms:W3CDTF">2026-03-08T12:54:45Z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